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esktop\Project 3\"/>
    </mc:Choice>
  </mc:AlternateContent>
  <xr:revisionPtr revIDLastSave="0" documentId="13_ncr:1_{BED8A7D5-3C7B-405E-B6D9-97487CFABA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shboard" sheetId="13" r:id="rId1"/>
    <sheet name="Pivot Table Summary" sheetId="15" r:id="rId2"/>
    <sheet name="Operation_Data" sheetId="2" r:id="rId3"/>
    <sheet name="Lists" sheetId="18" state="hidden" r:id="rId4"/>
    <sheet name="ChartData" sheetId="19" state="hidden" r:id="rId5"/>
    <sheet name="Raw_Data" sheetId="1" state="hidden" r:id="rId6"/>
  </sheets>
  <definedNames>
    <definedName name="_xlnm._FilterDatabase" localSheetId="0" hidden="1">Dashboard!$A$5:$G$8</definedName>
    <definedName name="ExternalData_1" localSheetId="2" hidden="1">Operation_Data!$A$1:$O$1001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V11" i="13" l="1"/>
  <c r="R11" i="13"/>
  <c r="N11" i="13"/>
  <c r="B11" i="13"/>
  <c r="F11" i="13"/>
  <c r="B1012" i="2" l="1"/>
  <c r="B1011" i="2"/>
  <c r="B1010" i="2"/>
  <c r="B1009" i="2"/>
  <c r="B1008" i="2"/>
  <c r="B1007" i="2"/>
  <c r="E33" i="15"/>
  <c r="J11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AAB3E-1C9C-457F-827A-1B8250FEF09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<sst xmlns="http://schemas.openxmlformats.org/spreadsheetml/2006/main" count="17572" uniqueCount="1745">
  <si>
    <t>Transaction_ID</t>
  </si>
  <si>
    <t>Date</t>
  </si>
  <si>
    <t>Month</t>
  </si>
  <si>
    <t>Department</t>
  </si>
  <si>
    <t>Employee_Name</t>
  </si>
  <si>
    <t>Region</t>
  </si>
  <si>
    <t>Product_Category</t>
  </si>
  <si>
    <t>Sales</t>
  </si>
  <si>
    <t>Cost</t>
  </si>
  <si>
    <t>Profit</t>
  </si>
  <si>
    <t>Customer_Complaint</t>
  </si>
  <si>
    <t>Resolution_Days</t>
  </si>
  <si>
    <t>Customer_Rating</t>
  </si>
  <si>
    <t>Target_Status</t>
  </si>
  <si>
    <t>TXN-10972</t>
  </si>
  <si>
    <t>2024-04-09</t>
  </si>
  <si>
    <t>April</t>
  </si>
  <si>
    <t>Warehouse</t>
  </si>
  <si>
    <t>Maya Devi</t>
  </si>
  <si>
    <t>Kuala Lumpur</t>
  </si>
  <si>
    <t>Automotive Parts</t>
  </si>
  <si>
    <t>No</t>
  </si>
  <si>
    <t>Met</t>
  </si>
  <si>
    <t>TXN-10636</t>
  </si>
  <si>
    <t>10/01/2024</t>
  </si>
  <si>
    <t>January</t>
  </si>
  <si>
    <t>Karthik Selvam</t>
  </si>
  <si>
    <t>Sarawak</t>
  </si>
  <si>
    <t>Apparel</t>
  </si>
  <si>
    <t>Missed</t>
  </si>
  <si>
    <t>TXN-10091</t>
  </si>
  <si>
    <t>2024-08-28</t>
  </si>
  <si>
    <t>August</t>
  </si>
  <si>
    <t>Procurement</t>
  </si>
  <si>
    <t>Eddy Chong</t>
  </si>
  <si>
    <t>Sabah</t>
  </si>
  <si>
    <t>Electronics</t>
  </si>
  <si>
    <t>TXN-10151</t>
  </si>
  <si>
    <t>2024-04-28</t>
  </si>
  <si>
    <t>Lee Jia Hui</t>
  </si>
  <si>
    <t>Johor</t>
  </si>
  <si>
    <t>TXN-10981</t>
  </si>
  <si>
    <t>Logistics</t>
  </si>
  <si>
    <t>Jasmine Wong</t>
  </si>
  <si>
    <t>Groceries</t>
  </si>
  <si>
    <t>TXN-10800</t>
  </si>
  <si>
    <t>2024-04-08</t>
  </si>
  <si>
    <t>Hafiz Idris</t>
  </si>
  <si>
    <t>Pinang</t>
  </si>
  <si>
    <t>TXN-10784</t>
  </si>
  <si>
    <t>2024-04-24</t>
  </si>
  <si>
    <t>Roslan Ahmad</t>
  </si>
  <si>
    <t>TXN-10577</t>
  </si>
  <si>
    <t>2024-07-22</t>
  </si>
  <si>
    <t>July</t>
  </si>
  <si>
    <t>Raj Kumar</t>
  </si>
  <si>
    <t>Yes</t>
  </si>
  <si>
    <t>TXN-10540</t>
  </si>
  <si>
    <t>2024-07-10</t>
  </si>
  <si>
    <t>Customer Support</t>
  </si>
  <si>
    <t>Goh Wen Xin</t>
  </si>
  <si>
    <t>KL</t>
  </si>
  <si>
    <t>TXN-10688</t>
  </si>
  <si>
    <t>2024-06-06</t>
  </si>
  <si>
    <t>June</t>
  </si>
  <si>
    <t>Kevin Lim</t>
  </si>
  <si>
    <t>TXN-10152</t>
  </si>
  <si>
    <t>2024-10-01</t>
  </si>
  <si>
    <t>October</t>
  </si>
  <si>
    <t>Nur Aina</t>
  </si>
  <si>
    <t>TXN-10276</t>
  </si>
  <si>
    <t>08/08/2024</t>
  </si>
  <si>
    <t>Hock Seng</t>
  </si>
  <si>
    <t>Furniture</t>
  </si>
  <si>
    <t>TXN-10878</t>
  </si>
  <si>
    <t>2024-03-19</t>
  </si>
  <si>
    <t>March</t>
  </si>
  <si>
    <t>Priya Devi</t>
  </si>
  <si>
    <t>TXN-10576</t>
  </si>
  <si>
    <t>2024-01-05</t>
  </si>
  <si>
    <t>Chong Kah Wei</t>
  </si>
  <si>
    <t>TXN-10541</t>
  </si>
  <si>
    <t>2024-07-21</t>
  </si>
  <si>
    <t>Sarah Lee</t>
  </si>
  <si>
    <t>Penang</t>
  </si>
  <si>
    <t>TXN-10840</t>
  </si>
  <si>
    <t>2024-10-05</t>
  </si>
  <si>
    <t>Selangor</t>
  </si>
  <si>
    <t>TXN-10704</t>
  </si>
  <si>
    <t>08/04/2024</t>
  </si>
  <si>
    <t xml:space="preserve"> No</t>
  </si>
  <si>
    <t>TXN-10851</t>
  </si>
  <si>
    <t>October 20, 2024</t>
  </si>
  <si>
    <t>Nurul Huda</t>
  </si>
  <si>
    <t>TXN-10282</t>
  </si>
  <si>
    <t>TXN-10302</t>
  </si>
  <si>
    <t>Izzat Fikri</t>
  </si>
  <si>
    <t>Apparrel</t>
  </si>
  <si>
    <t>TXN-10249</t>
  </si>
  <si>
    <t>2024-06-29</t>
  </si>
  <si>
    <t>Noraini Yaakob</t>
  </si>
  <si>
    <t>Y</t>
  </si>
  <si>
    <t>TXN-10237</t>
  </si>
  <si>
    <t>2024-05-31</t>
  </si>
  <si>
    <t>May</t>
  </si>
  <si>
    <t>Farhana Ismail</t>
  </si>
  <si>
    <t>TXN-10075</t>
  </si>
  <si>
    <t>10/05/2024</t>
  </si>
  <si>
    <t>Faisal Rashid</t>
  </si>
  <si>
    <t>TXN-10526</t>
  </si>
  <si>
    <t>2024-11-29</t>
  </si>
  <si>
    <t>November</t>
  </si>
  <si>
    <t>TXN-10386</t>
  </si>
  <si>
    <t>TXN-10727</t>
  </si>
  <si>
    <t>28/09/2024</t>
  </si>
  <si>
    <t>September</t>
  </si>
  <si>
    <t>Suresh Pillai</t>
  </si>
  <si>
    <t>TXN-10537</t>
  </si>
  <si>
    <t>2024-11-06</t>
  </si>
  <si>
    <t>Vikram Singh</t>
  </si>
  <si>
    <t>TXN-10938</t>
  </si>
  <si>
    <t>2024-07-31</t>
  </si>
  <si>
    <t>TXN-10821</t>
  </si>
  <si>
    <t>2024-02-15</t>
  </si>
  <si>
    <t>February</t>
  </si>
  <si>
    <t>TXN-10703</t>
  </si>
  <si>
    <t>2024-01-20</t>
  </si>
  <si>
    <t xml:space="preserve">Sales </t>
  </si>
  <si>
    <t>Daniel Tan</t>
  </si>
  <si>
    <t>TXN-10439</t>
  </si>
  <si>
    <t>24/07/2024</t>
  </si>
  <si>
    <t>Aisha Rahman</t>
  </si>
  <si>
    <t>TXN-10124</t>
  </si>
  <si>
    <t>2024-07-28</t>
  </si>
  <si>
    <t>Siti Noraini</t>
  </si>
  <si>
    <t>TXN-10349</t>
  </si>
  <si>
    <t>2024-07-02</t>
  </si>
  <si>
    <t>TXN-10721</t>
  </si>
  <si>
    <t>2024-09-25</t>
  </si>
  <si>
    <t>TXN-10158</t>
  </si>
  <si>
    <t>May 23, 2024</t>
  </si>
  <si>
    <t>TXN-10501</t>
  </si>
  <si>
    <t>2024-03-20</t>
  </si>
  <si>
    <t>TXN-10100</t>
  </si>
  <si>
    <t>2024-10-21</t>
  </si>
  <si>
    <t>TXN-10359</t>
  </si>
  <si>
    <t>2024-05-01</t>
  </si>
  <si>
    <t>TXN-10060</t>
  </si>
  <si>
    <t>TXN-10664</t>
  </si>
  <si>
    <t>06/03/2024</t>
  </si>
  <si>
    <t>TXN-10428</t>
  </si>
  <si>
    <t>2024-03-10</t>
  </si>
  <si>
    <t>TXN-10869</t>
  </si>
  <si>
    <t>2024-07-07</t>
  </si>
  <si>
    <t>TXN-10580</t>
  </si>
  <si>
    <t>Chen Mei Ling</t>
  </si>
  <si>
    <t>TXN-10364</t>
  </si>
  <si>
    <t>2024-07-08</t>
  </si>
  <si>
    <t>TXN-10533</t>
  </si>
  <si>
    <t>2024-07-25</t>
  </si>
  <si>
    <t>TXN-10213</t>
  </si>
  <si>
    <t>25/07/2024</t>
  </si>
  <si>
    <t>Muthu Kannan</t>
  </si>
  <si>
    <t>TXN-10511</t>
  </si>
  <si>
    <t>2024-01-02</t>
  </si>
  <si>
    <t>TXN-10910</t>
  </si>
  <si>
    <t>2024-10-09</t>
  </si>
  <si>
    <t>TXN-10994</t>
  </si>
  <si>
    <t>June 03, 2024</t>
  </si>
  <si>
    <t>TXN-10051</t>
  </si>
  <si>
    <t>04/09/2024</t>
  </si>
  <si>
    <t>Anand Raj</t>
  </si>
  <si>
    <t>TXN-10853</t>
  </si>
  <si>
    <t>2024-07-04</t>
  </si>
  <si>
    <t>TXN-10206</t>
  </si>
  <si>
    <t>2024-05-03</t>
  </si>
  <si>
    <t>Electronic</t>
  </si>
  <si>
    <t>TXN-10615</t>
  </si>
  <si>
    <t>2024-12-25</t>
  </si>
  <si>
    <t>December</t>
  </si>
  <si>
    <t>TXN-10527</t>
  </si>
  <si>
    <t>2024-09-16</t>
  </si>
  <si>
    <t>Farah Aziz</t>
  </si>
  <si>
    <t>TXN-10964</t>
  </si>
  <si>
    <t>03/12/2024</t>
  </si>
  <si>
    <t>Wei Jian</t>
  </si>
  <si>
    <t>TXN-10987</t>
  </si>
  <si>
    <t>April 03, 2024</t>
  </si>
  <si>
    <t>TXN-10828</t>
  </si>
  <si>
    <t>2024-04-20</t>
  </si>
  <si>
    <t>TXN-10308</t>
  </si>
  <si>
    <t>2024-08-06</t>
  </si>
  <si>
    <t>TXN-10201</t>
  </si>
  <si>
    <t>March 10, 2024</t>
  </si>
  <si>
    <t>Lim Pei Yi</t>
  </si>
  <si>
    <t>TXN-10361</t>
  </si>
  <si>
    <t>2024-10-10</t>
  </si>
  <si>
    <t>TXN-10743</t>
  </si>
  <si>
    <t>2024-03-18</t>
  </si>
  <si>
    <t>TXN-10655</t>
  </si>
  <si>
    <t>2024-12-24</t>
  </si>
  <si>
    <t>TXN-10747</t>
  </si>
  <si>
    <t>21/09/2024</t>
  </si>
  <si>
    <t>TXN-10459</t>
  </si>
  <si>
    <t>December 22, 2024</t>
  </si>
  <si>
    <t>Michelle Tan</t>
  </si>
  <si>
    <t>TXN-10408</t>
  </si>
  <si>
    <t>2024-09-08</t>
  </si>
  <si>
    <t>TXN-10481</t>
  </si>
  <si>
    <t>22/10/2024</t>
  </si>
  <si>
    <t>TXN-10179</t>
  </si>
  <si>
    <t>02/06/2024</t>
  </si>
  <si>
    <t>TXN-10292</t>
  </si>
  <si>
    <t>2024-01-12</t>
  </si>
  <si>
    <t>Zulkifli Hassan</t>
  </si>
  <si>
    <t>TXN-10514</t>
  </si>
  <si>
    <t>16/08/2024</t>
  </si>
  <si>
    <t>TXN-10447</t>
  </si>
  <si>
    <t>2024-09-05</t>
  </si>
  <si>
    <t>TXN-10710</t>
  </si>
  <si>
    <t>TXN-10771</t>
  </si>
  <si>
    <t>2024-01-04</t>
  </si>
  <si>
    <t>TXN-10993</t>
  </si>
  <si>
    <t>18/10/2024</t>
  </si>
  <si>
    <t>TXN-10098</t>
  </si>
  <si>
    <t>2024-08-15</t>
  </si>
  <si>
    <t>Wong Li Ting</t>
  </si>
  <si>
    <t>TXN-10556</t>
  </si>
  <si>
    <t>2024-01-07</t>
  </si>
  <si>
    <t>yes</t>
  </si>
  <si>
    <t>TXN-10203</t>
  </si>
  <si>
    <t>2024-03-24</t>
  </si>
  <si>
    <t>TXN-10452</t>
  </si>
  <si>
    <t>TXN-10627</t>
  </si>
  <si>
    <t>TXN-10020</t>
  </si>
  <si>
    <t>06/06/2024</t>
  </si>
  <si>
    <t>TXN-10836</t>
  </si>
  <si>
    <t>2024-02-24</t>
  </si>
  <si>
    <t>TXN-10695</t>
  </si>
  <si>
    <t>2024-05-05</t>
  </si>
  <si>
    <t>TXN-10573</t>
  </si>
  <si>
    <t>19/03/2024</t>
  </si>
  <si>
    <t>TXN-10373</t>
  </si>
  <si>
    <t>2024-10-20</t>
  </si>
  <si>
    <t>Cust. Support</t>
  </si>
  <si>
    <t>TXN-10643</t>
  </si>
  <si>
    <t>17/10/2024</t>
  </si>
  <si>
    <t>TXN-10015</t>
  </si>
  <si>
    <t>04/02/2024</t>
  </si>
  <si>
    <t>TXN-10719</t>
  </si>
  <si>
    <t>TXN-10427</t>
  </si>
  <si>
    <t>January 07, 2024</t>
  </si>
  <si>
    <t>TXN-10280</t>
  </si>
  <si>
    <t>31/12/2024</t>
  </si>
  <si>
    <t>TXN-10925</t>
  </si>
  <si>
    <t>2024-05-29</t>
  </si>
  <si>
    <t>TXN-10748</t>
  </si>
  <si>
    <t>2024-01-18</t>
  </si>
  <si>
    <t>TXN-10445</t>
  </si>
  <si>
    <t>2024-10-26</t>
  </si>
  <si>
    <t>TXN-10795</t>
  </si>
  <si>
    <t>27/08/2024</t>
  </si>
  <si>
    <t>Amir Hakim</t>
  </si>
  <si>
    <t>TXN-10274</t>
  </si>
  <si>
    <t>2024-10-03</t>
  </si>
  <si>
    <t>TXN-10339</t>
  </si>
  <si>
    <t>2024-01-27</t>
  </si>
  <si>
    <t>TXN-10991</t>
  </si>
  <si>
    <t>2024-10-19</t>
  </si>
  <si>
    <t>TXN-10986</t>
  </si>
  <si>
    <t>TXN-10054</t>
  </si>
  <si>
    <t>01/12/2024</t>
  </si>
  <si>
    <t>TXN-10854</t>
  </si>
  <si>
    <t>TXN-10464</t>
  </si>
  <si>
    <t>15/01/2024</t>
  </si>
  <si>
    <t>TXN-10320</t>
  </si>
  <si>
    <t>2024-08-23</t>
  </si>
  <si>
    <t>Logistic</t>
  </si>
  <si>
    <t>TXN-10753</t>
  </si>
  <si>
    <t>24/09/2024</t>
  </si>
  <si>
    <t>TXN-10350</t>
  </si>
  <si>
    <t>2024-07-15</t>
  </si>
  <si>
    <t>TXN-10006</t>
  </si>
  <si>
    <t>2024-04-22</t>
  </si>
  <si>
    <t>TXN-10754</t>
  </si>
  <si>
    <t>2024-03-12</t>
  </si>
  <si>
    <t>TXN-10491</t>
  </si>
  <si>
    <t>11/12/2024</t>
  </si>
  <si>
    <t>TXN-10040</t>
  </si>
  <si>
    <t>2024-08-20</t>
  </si>
  <si>
    <t>TXN-10975</t>
  </si>
  <si>
    <t>2024-02-27</t>
  </si>
  <si>
    <t>TXN-10479</t>
  </si>
  <si>
    <t>2024-03-11</t>
  </si>
  <si>
    <t>TXN-10497</t>
  </si>
  <si>
    <t>TXN-10725</t>
  </si>
  <si>
    <t>2024-03-31</t>
  </si>
  <si>
    <t>Syafiq Azman</t>
  </si>
  <si>
    <t>TXN-10245</t>
  </si>
  <si>
    <t>apparel</t>
  </si>
  <si>
    <t>TXN-10187</t>
  </si>
  <si>
    <t>Brandon Ong</t>
  </si>
  <si>
    <t>TXN-10042</t>
  </si>
  <si>
    <t>2024-09-02</t>
  </si>
  <si>
    <t>TXN-10357</t>
  </si>
  <si>
    <t>2024-11-16</t>
  </si>
  <si>
    <t>TXN-10532</t>
  </si>
  <si>
    <t>2024-09-07</t>
  </si>
  <si>
    <t>Aina Sofea</t>
  </si>
  <si>
    <t>TXN-10716</t>
  </si>
  <si>
    <t>2024-02-23</t>
  </si>
  <si>
    <t>TXN-10095</t>
  </si>
  <si>
    <t>TXN-10064</t>
  </si>
  <si>
    <t>TXN-10322</t>
  </si>
  <si>
    <t>September 11, 2024</t>
  </si>
  <si>
    <t>penang</t>
  </si>
  <si>
    <t>TXN-10906</t>
  </si>
  <si>
    <t>2024-02-06</t>
  </si>
  <si>
    <t>Feb</t>
  </si>
  <si>
    <t>TXN-10192</t>
  </si>
  <si>
    <t>2024-11-10</t>
  </si>
  <si>
    <t>TXN-10444</t>
  </si>
  <si>
    <t>2024-07-03</t>
  </si>
  <si>
    <t>TXN-10122</t>
  </si>
  <si>
    <t>TXN-10446</t>
  </si>
  <si>
    <t>2024-04-18</t>
  </si>
  <si>
    <t>TXN-10490</t>
  </si>
  <si>
    <t>22/05/2024</t>
  </si>
  <si>
    <t>warehouse</t>
  </si>
  <si>
    <t>TXN-10757</t>
  </si>
  <si>
    <t>2024-02-22</t>
  </si>
  <si>
    <t>TXN-10510</t>
  </si>
  <si>
    <t>2024-05-16</t>
  </si>
  <si>
    <t>TXN-10603</t>
  </si>
  <si>
    <t>TXN-10961</t>
  </si>
  <si>
    <t>23/03/2024</t>
  </si>
  <si>
    <t>TXN-10090</t>
  </si>
  <si>
    <t>2024-11-19</t>
  </si>
  <si>
    <t>no</t>
  </si>
  <si>
    <t>TXN-10921</t>
  </si>
  <si>
    <t>21/07/2024</t>
  </si>
  <si>
    <t>TXN-10340</t>
  </si>
  <si>
    <t>30/03/2024</t>
  </si>
  <si>
    <t>TXN-10244</t>
  </si>
  <si>
    <t>2024-06-09</t>
  </si>
  <si>
    <t>TXN-10610</t>
  </si>
  <si>
    <t>2024-12-18</t>
  </si>
  <si>
    <t>TXN-10528</t>
  </si>
  <si>
    <t>TXN-10907</t>
  </si>
  <si>
    <t>29/07/2024</t>
  </si>
  <si>
    <t>TXN-10989</t>
  </si>
  <si>
    <t>2024-03-26</t>
  </si>
  <si>
    <t>TXN-10467</t>
  </si>
  <si>
    <t>29/11/2024</t>
  </si>
  <si>
    <t>TXN-10635</t>
  </si>
  <si>
    <t>TXN-10205</t>
  </si>
  <si>
    <t>TXN-10331</t>
  </si>
  <si>
    <t>2024-12-04</t>
  </si>
  <si>
    <t>TXN-10326</t>
  </si>
  <si>
    <t>TXN-10979</t>
  </si>
  <si>
    <t>August 18, 2024</t>
  </si>
  <si>
    <t>TXN-10890</t>
  </si>
  <si>
    <t>2024-06-02</t>
  </si>
  <si>
    <t>TXN-10749</t>
  </si>
  <si>
    <t>2024-12-01</t>
  </si>
  <si>
    <t>TXN-10235</t>
  </si>
  <si>
    <t>2024-06-27</t>
  </si>
  <si>
    <t>TXN-10289</t>
  </si>
  <si>
    <t>2024-09-26</t>
  </si>
  <si>
    <t>TXN-10261</t>
  </si>
  <si>
    <t>May 11, 2024</t>
  </si>
  <si>
    <t>TXN-10624</t>
  </si>
  <si>
    <t>28/05/2024</t>
  </si>
  <si>
    <t>TXN-10900</t>
  </si>
  <si>
    <t>2024-02-21</t>
  </si>
  <si>
    <t>logistics</t>
  </si>
  <si>
    <t>TXN-10338</t>
  </si>
  <si>
    <t>28/08/2024</t>
  </si>
  <si>
    <t>TXN-10379</t>
  </si>
  <si>
    <t>TXN-10045</t>
  </si>
  <si>
    <t>2024-05-15</t>
  </si>
  <si>
    <t>TXN-10416</t>
  </si>
  <si>
    <t>29/02/2024</t>
  </si>
  <si>
    <t>TXN-10108</t>
  </si>
  <si>
    <t>2024-06-22</t>
  </si>
  <si>
    <t>TXN-10204</t>
  </si>
  <si>
    <t>TXN-10170</t>
  </si>
  <si>
    <t>10/08/2024</t>
  </si>
  <si>
    <t>TXN-10892</t>
  </si>
  <si>
    <t>TXN-10209</t>
  </si>
  <si>
    <t>2024-11-13</t>
  </si>
  <si>
    <t>TXN-10183</t>
  </si>
  <si>
    <t>05/09/2024</t>
  </si>
  <si>
    <t>customer support</t>
  </si>
  <si>
    <t>TXN-10145</t>
  </si>
  <si>
    <t>TXN-10227</t>
  </si>
  <si>
    <t>TXN-10752</t>
  </si>
  <si>
    <t>2024-09-28</t>
  </si>
  <si>
    <t>TXN-10492</t>
  </si>
  <si>
    <t>2024-01-08</t>
  </si>
  <si>
    <t>TXN-10782</t>
  </si>
  <si>
    <t>18/06/2024</t>
  </si>
  <si>
    <t>TXN-10161</t>
  </si>
  <si>
    <t>21/06/2024</t>
  </si>
  <si>
    <t>TXN-10474</t>
  </si>
  <si>
    <t>2024-12-21</t>
  </si>
  <si>
    <t>TXN-10838</t>
  </si>
  <si>
    <t>TXN-10030</t>
  </si>
  <si>
    <t>TXN-10232</t>
  </si>
  <si>
    <t>2024-05-08</t>
  </si>
  <si>
    <t>TXN-10028</t>
  </si>
  <si>
    <t>2024-12-22</t>
  </si>
  <si>
    <t>TXN-10960</t>
  </si>
  <si>
    <t>May 25, 2024</t>
  </si>
  <si>
    <t>TXN-10288</t>
  </si>
  <si>
    <t>July 31, 2024</t>
  </si>
  <si>
    <t>TXN-10730</t>
  </si>
  <si>
    <t>12/04/2024</t>
  </si>
  <si>
    <t>Grocery</t>
  </si>
  <si>
    <t>TXN-10933</t>
  </si>
  <si>
    <t>12/01/2024</t>
  </si>
  <si>
    <t>Auto Parts</t>
  </si>
  <si>
    <t>TXN-10443</t>
  </si>
  <si>
    <t>17/11/2024</t>
  </si>
  <si>
    <t>TXN-10691</t>
  </si>
  <si>
    <t>2024-06-14</t>
  </si>
  <si>
    <t>TXN-10401</t>
  </si>
  <si>
    <t>2024-02-02</t>
  </si>
  <si>
    <t>TXN-10632</t>
  </si>
  <si>
    <t>12/09/2024</t>
  </si>
  <si>
    <t>TXN-10471</t>
  </si>
  <si>
    <t>2024-06-18</t>
  </si>
  <si>
    <t>TXN-10333</t>
  </si>
  <si>
    <t>2024-10-08</t>
  </si>
  <si>
    <t>TXN-10310</t>
  </si>
  <si>
    <t>2024-03-13</t>
  </si>
  <si>
    <t>TXN-10117</t>
  </si>
  <si>
    <t>2024-04-05</t>
  </si>
  <si>
    <t>TXN-10699</t>
  </si>
  <si>
    <t>2024-12-17</t>
  </si>
  <si>
    <t>TXN-10736</t>
  </si>
  <si>
    <t>2024-04-03</t>
  </si>
  <si>
    <t>TXN-10485</t>
  </si>
  <si>
    <t>2024-06-07</t>
  </si>
  <si>
    <t>TXN-10080</t>
  </si>
  <si>
    <t>07/07/2024</t>
  </si>
  <si>
    <t>TXN-10106</t>
  </si>
  <si>
    <t>TXN-10469</t>
  </si>
  <si>
    <t>January 05, 2024</t>
  </si>
  <si>
    <t>TXN-10367</t>
  </si>
  <si>
    <t>29/09/2024</t>
  </si>
  <si>
    <t>TXN-10569</t>
  </si>
  <si>
    <t>2024-10-04</t>
  </si>
  <si>
    <t>TXN-10059</t>
  </si>
  <si>
    <t>2024-05-26</t>
  </si>
  <si>
    <t>TXN-10120</t>
  </si>
  <si>
    <t>2024-04-30</t>
  </si>
  <si>
    <t>TXN-10035</t>
  </si>
  <si>
    <t>2024-01-14</t>
  </si>
  <si>
    <t>TXN-10084</t>
  </si>
  <si>
    <t>2024-04-02</t>
  </si>
  <si>
    <t>TXN-10219</t>
  </si>
  <si>
    <t>2024-01-31</t>
  </si>
  <si>
    <t>Selngor</t>
  </si>
  <si>
    <t>TXN-10566</t>
  </si>
  <si>
    <t>2024-06-21</t>
  </si>
  <si>
    <t>TXN-10932</t>
  </si>
  <si>
    <t>2024-06-23</t>
  </si>
  <si>
    <t>TXN-10513</t>
  </si>
  <si>
    <t>Tan Chee Keong</t>
  </si>
  <si>
    <t>TXN-10307</t>
  </si>
  <si>
    <t>2024-01-17</t>
  </si>
  <si>
    <t>TXN-10898</t>
  </si>
  <si>
    <t>2024-09-10</t>
  </si>
  <si>
    <t>TXN-10136</t>
  </si>
  <si>
    <t>26/09/2024</t>
  </si>
  <si>
    <t>TXN-10711</t>
  </si>
  <si>
    <t>2024-06-20</t>
  </si>
  <si>
    <t>TXN-10619</t>
  </si>
  <si>
    <t>2024-08-24</t>
  </si>
  <si>
    <t>sabah</t>
  </si>
  <si>
    <t>TXN-10101</t>
  </si>
  <si>
    <t>2024-06-04</t>
  </si>
  <si>
    <t>TXN-10790</t>
  </si>
  <si>
    <t>May 24, 2024</t>
  </si>
  <si>
    <t>TXN-10519</t>
  </si>
  <si>
    <t>14/09/2024</t>
  </si>
  <si>
    <t>TXN-10074</t>
  </si>
  <si>
    <t>TXN-10463</t>
  </si>
  <si>
    <t>June 10, 2024</t>
  </si>
  <si>
    <t>Nabilah Yusof</t>
  </si>
  <si>
    <t>TXN-10919</t>
  </si>
  <si>
    <t>October 11, 2024</t>
  </si>
  <si>
    <t>TXN-10617</t>
  </si>
  <si>
    <t>September 14, 2024</t>
  </si>
  <si>
    <t>TXN-10132</t>
  </si>
  <si>
    <t>TXN-10335</t>
  </si>
  <si>
    <t>2024-08-21</t>
  </si>
  <si>
    <t>sarawak</t>
  </si>
  <si>
    <t>TXN-10794</t>
  </si>
  <si>
    <t>TXN-10395</t>
  </si>
  <si>
    <t>TXN-10822</t>
  </si>
  <si>
    <t>TXN-10791</t>
  </si>
  <si>
    <t>2024-03-30</t>
  </si>
  <si>
    <t>TXN-10489</t>
  </si>
  <si>
    <t>TXN-10701</t>
  </si>
  <si>
    <t>2024-05-09</t>
  </si>
  <si>
    <t>TXN-10377</t>
  </si>
  <si>
    <t>TXN-10618</t>
  </si>
  <si>
    <t>2024-02-20</t>
  </si>
  <si>
    <t>TXN-10505</t>
  </si>
  <si>
    <t>December 14, 2024</t>
  </si>
  <si>
    <t>TXN-10530</t>
  </si>
  <si>
    <t>2024-12-02</t>
  </si>
  <si>
    <t>TXN-10977</t>
  </si>
  <si>
    <t>2024-02-25</t>
  </si>
  <si>
    <t>TXN-10955</t>
  </si>
  <si>
    <t>2024-08-14</t>
  </si>
  <si>
    <t>TXN-10185</t>
  </si>
  <si>
    <t>2024-10-29</t>
  </si>
  <si>
    <t>TXN-10226</t>
  </si>
  <si>
    <t>TXN-10475</t>
  </si>
  <si>
    <t>07/09/2024</t>
  </si>
  <si>
    <t>TXN-10733</t>
  </si>
  <si>
    <t>2024-08-16</t>
  </si>
  <si>
    <t>TXN-10886</t>
  </si>
  <si>
    <t>22/07/2024</t>
  </si>
  <si>
    <t>TXN-10628</t>
  </si>
  <si>
    <t>TXN-10025</t>
  </si>
  <si>
    <t>TXN-10014</t>
  </si>
  <si>
    <t>TXN-10353</t>
  </si>
  <si>
    <t>02/02/2024</t>
  </si>
  <si>
    <t>TXN-10038</t>
  </si>
  <si>
    <t>TXN-10796</t>
  </si>
  <si>
    <t>2024-04-19</t>
  </si>
  <si>
    <t>TXN-10777</t>
  </si>
  <si>
    <t>22/06/2024</t>
  </si>
  <si>
    <t>TXN-10881</t>
  </si>
  <si>
    <t>TXN-10450</t>
  </si>
  <si>
    <t>November 12, 2024</t>
  </si>
  <si>
    <t>TXN-10493</t>
  </si>
  <si>
    <t>2024-04-16</t>
  </si>
  <si>
    <t>TXN-10843</t>
  </si>
  <si>
    <t>TXN-10531</t>
  </si>
  <si>
    <t>2024-11-23</t>
  </si>
  <si>
    <t>TXN-10472</t>
  </si>
  <si>
    <t>TXN-10726</t>
  </si>
  <si>
    <t>17/09/2024</t>
  </si>
  <si>
    <t>TXN-10792</t>
  </si>
  <si>
    <t>29/06/2024</t>
  </si>
  <si>
    <t>TXN-10601</t>
  </si>
  <si>
    <t>2024-03-03</t>
  </si>
  <si>
    <t>TXN-10731</t>
  </si>
  <si>
    <t>2024-12-27</t>
  </si>
  <si>
    <t>TXN-10242</t>
  </si>
  <si>
    <t>April 23, 2024</t>
  </si>
  <si>
    <t>TXN-10831</t>
  </si>
  <si>
    <t>2024-04-06</t>
  </si>
  <si>
    <t>groceries</t>
  </si>
  <si>
    <t>TXN-10083</t>
  </si>
  <si>
    <t>TXN-10371</t>
  </si>
  <si>
    <t>TXN-10354</t>
  </si>
  <si>
    <t>April 19, 2024</t>
  </si>
  <si>
    <t>TXN-10760</t>
  </si>
  <si>
    <t>2024-08-13</t>
  </si>
  <si>
    <t>TXN-10440</t>
  </si>
  <si>
    <t>TXN-10382</t>
  </si>
  <si>
    <t>TXN-10414</t>
  </si>
  <si>
    <t>TXN-10166</t>
  </si>
  <si>
    <t>10/10/2024</t>
  </si>
  <si>
    <t>TXN-10804</t>
  </si>
  <si>
    <t>2024-12-06</t>
  </si>
  <si>
    <t>TXN-10908</t>
  </si>
  <si>
    <t>TXN-10746</t>
  </si>
  <si>
    <t>2024-09-20</t>
  </si>
  <si>
    <t>TXN-10538</t>
  </si>
  <si>
    <t>01/03/2024</t>
  </si>
  <si>
    <t>TXN-10134</t>
  </si>
  <si>
    <t>TXN-10713</t>
  </si>
  <si>
    <t>2024-05-02</t>
  </si>
  <si>
    <t>TXN-10345</t>
  </si>
  <si>
    <t>2024-02-14</t>
  </si>
  <si>
    <t>TXN-10077</t>
  </si>
  <si>
    <t>2024-05-04</t>
  </si>
  <si>
    <t>TXN-10159</t>
  </si>
  <si>
    <t>2024-05-06</t>
  </si>
  <si>
    <t>TXN-10073</t>
  </si>
  <si>
    <t>2024-07-11</t>
  </si>
  <si>
    <t>TXN-10595</t>
  </si>
  <si>
    <t>2024-10-27</t>
  </si>
  <si>
    <t>TXN-10885</t>
  </si>
  <si>
    <t>2024-11-25</t>
  </si>
  <si>
    <t>johor</t>
  </si>
  <si>
    <t>TXN-10604</t>
  </si>
  <si>
    <t>2024-12-30</t>
  </si>
  <si>
    <t>TXN-10630</t>
  </si>
  <si>
    <t>2024-01-13</t>
  </si>
  <si>
    <t>TXN-10319</t>
  </si>
  <si>
    <t>TXN-10864</t>
  </si>
  <si>
    <t>2024-05-30</t>
  </si>
  <si>
    <t>TXN-10402</t>
  </si>
  <si>
    <t>2024-08-11</t>
  </si>
  <si>
    <t xml:space="preserve">Warehouse </t>
  </si>
  <si>
    <t>TXN-10268</t>
  </si>
  <si>
    <t>TXN-10283</t>
  </si>
  <si>
    <t>selangor</t>
  </si>
  <si>
    <t>TXN-10902</t>
  </si>
  <si>
    <t>2024-10-28</t>
  </si>
  <si>
    <t>TXN-10543</t>
  </si>
  <si>
    <t>18/09/2024</t>
  </si>
  <si>
    <t>TXN-10657</t>
  </si>
  <si>
    <t>2024-03-25</t>
  </si>
  <si>
    <t>TXN-10050</t>
  </si>
  <si>
    <t>TXN-10621</t>
  </si>
  <si>
    <t>May 28, 2024</t>
  </si>
  <si>
    <t>TXN-10930</t>
  </si>
  <si>
    <t>2024-07-23</t>
  </si>
  <si>
    <t>TXN-10341</t>
  </si>
  <si>
    <t>2024-11-22</t>
  </si>
  <si>
    <t>TXN-10113</t>
  </si>
  <si>
    <t>TXN-10142</t>
  </si>
  <si>
    <t>17/08/2024</t>
  </si>
  <si>
    <t>TXN-10434</t>
  </si>
  <si>
    <t>2024-05-13</t>
  </si>
  <si>
    <t>TXN-10436</t>
  </si>
  <si>
    <t>23/02/2024</t>
  </si>
  <si>
    <t>TXN-10398</t>
  </si>
  <si>
    <t>2024-11-15</t>
  </si>
  <si>
    <t>TXN-10375</t>
  </si>
  <si>
    <t>03/07/2024</t>
  </si>
  <si>
    <t>TXN-10958</t>
  </si>
  <si>
    <t>2024-02-10</t>
  </si>
  <si>
    <t>TXN-10305</t>
  </si>
  <si>
    <t>2024-06-12</t>
  </si>
  <si>
    <t>TXN-10640</t>
  </si>
  <si>
    <t>Mar</t>
  </si>
  <si>
    <t>TXN-10438</t>
  </si>
  <si>
    <t>TXN-10950</t>
  </si>
  <si>
    <t>2024-10-14</t>
  </si>
  <si>
    <t>TXN-10598</t>
  </si>
  <si>
    <t>2024-11-07</t>
  </si>
  <si>
    <t>TXN-10802</t>
  </si>
  <si>
    <t>2024-06-24</t>
  </si>
  <si>
    <t>TXN-10512</t>
  </si>
  <si>
    <t>13/06/2024</t>
  </si>
  <si>
    <t>TXN-10689</t>
  </si>
  <si>
    <t>TXN-10173</t>
  </si>
  <si>
    <t>2024-08-01</t>
  </si>
  <si>
    <t>TXN-10665</t>
  </si>
  <si>
    <t>TXN-10920</t>
  </si>
  <si>
    <t>TXN-10199</t>
  </si>
  <si>
    <t>14/12/2024</t>
  </si>
  <si>
    <t>N</t>
  </si>
  <si>
    <t>TXN-10399</t>
  </si>
  <si>
    <t>TXN-10793</t>
  </si>
  <si>
    <t>TXN-10296</t>
  </si>
  <si>
    <t>2024-01-26</t>
  </si>
  <si>
    <t>TXN-10751</t>
  </si>
  <si>
    <t>2024-09-18</t>
  </si>
  <si>
    <t>TXN-10455</t>
  </si>
  <si>
    <t>August 25, 2024</t>
  </si>
  <si>
    <t>TXN-10421</t>
  </si>
  <si>
    <t>2024-10-18</t>
  </si>
  <si>
    <t>TXN-10612</t>
  </si>
  <si>
    <t>TXN-10254</t>
  </si>
  <si>
    <t>TXN-10121</t>
  </si>
  <si>
    <t>TXN-10555</t>
  </si>
  <si>
    <t>2024-05-24</t>
  </si>
  <si>
    <t>TXN-10998</t>
  </si>
  <si>
    <t>19/04/2024</t>
  </si>
  <si>
    <t>TXN-10197</t>
  </si>
  <si>
    <t>2024-02-04</t>
  </si>
  <si>
    <t>TXN-10048</t>
  </si>
  <si>
    <t>2024-03-23</t>
  </si>
  <si>
    <t>TXN-10542</t>
  </si>
  <si>
    <t>2024-07-18</t>
  </si>
  <si>
    <t>TXN-10889</t>
  </si>
  <si>
    <t>TXN-10834</t>
  </si>
  <si>
    <t>19/11/2024</t>
  </si>
  <si>
    <t>TXN-10448</t>
  </si>
  <si>
    <t>TXN-10394</t>
  </si>
  <si>
    <t>TXN-10954</t>
  </si>
  <si>
    <t>TXN-10404</t>
  </si>
  <si>
    <t>2024-02-16</t>
  </si>
  <si>
    <t>TXN-10894</t>
  </si>
  <si>
    <t>2024-08-19</t>
  </si>
  <si>
    <t>TXN-10781</t>
  </si>
  <si>
    <t>TXN-10265</t>
  </si>
  <si>
    <t>TXN-10592</t>
  </si>
  <si>
    <t>2024-11-20</t>
  </si>
  <si>
    <t>TXN-10003</t>
  </si>
  <si>
    <t>2024-07-12</t>
  </si>
  <si>
    <t>TXN-10535</t>
  </si>
  <si>
    <t>TXN-10410</t>
  </si>
  <si>
    <t>TXN-10304</t>
  </si>
  <si>
    <t>TXN-10233</t>
  </si>
  <si>
    <t>2024-12-15</t>
  </si>
  <si>
    <t>TXN-10397</t>
  </si>
  <si>
    <t>07/12/2024</t>
  </si>
  <si>
    <t>TXN-10435</t>
  </si>
  <si>
    <t>2024-12-19</t>
  </si>
  <si>
    <t>TXN-10823</t>
  </si>
  <si>
    <t>TXN-10502</t>
  </si>
  <si>
    <t>14/10/2024</t>
  </si>
  <si>
    <t>TXN-10801</t>
  </si>
  <si>
    <t>09/10/2024</t>
  </si>
  <si>
    <t>TXN-10281</t>
  </si>
  <si>
    <t>2024-01-22</t>
  </si>
  <si>
    <t>TXN-10010</t>
  </si>
  <si>
    <t>2024-11-28</t>
  </si>
  <si>
    <t>TXN-10586</t>
  </si>
  <si>
    <t>2024-08-25</t>
  </si>
  <si>
    <t>TXN-10587</t>
  </si>
  <si>
    <t>TXN-10963</t>
  </si>
  <si>
    <t>2024-09-11</t>
  </si>
  <si>
    <t>TXN-10728</t>
  </si>
  <si>
    <t>TXN-10810</t>
  </si>
  <si>
    <t>TXN-10001</t>
  </si>
  <si>
    <t>TXN-10169</t>
  </si>
  <si>
    <t>TXN-10470</t>
  </si>
  <si>
    <t>2024-10-23</t>
  </si>
  <si>
    <t>TXN-10678</t>
  </si>
  <si>
    <t>TXN-10363</t>
  </si>
  <si>
    <t>TXN-10855</t>
  </si>
  <si>
    <t>2024-05-10</t>
  </si>
  <si>
    <t>TXN-10970</t>
  </si>
  <si>
    <t>TXN-10623</t>
  </si>
  <si>
    <t>06/10/2024</t>
  </si>
  <si>
    <t>TXN-10086</t>
  </si>
  <si>
    <t>09/04/2024</t>
  </si>
  <si>
    <t>TXN-10034</t>
  </si>
  <si>
    <t>2024-04-12</t>
  </si>
  <si>
    <t>TXN-10087</t>
  </si>
  <si>
    <t>TXN-10536</t>
  </si>
  <si>
    <t>11/09/2024</t>
  </si>
  <si>
    <t>TXN-10076</t>
  </si>
  <si>
    <t>09/02/2024</t>
  </si>
  <si>
    <t>TXN-10523</t>
  </si>
  <si>
    <t>20/09/2024</t>
  </si>
  <si>
    <t>TXN-10571</t>
  </si>
  <si>
    <t>17/03/2024</t>
  </si>
  <si>
    <t>TXN-10141</t>
  </si>
  <si>
    <t>2024-11-12</t>
  </si>
  <si>
    <t>TXN-10457</t>
  </si>
  <si>
    <t>TXN-10729</t>
  </si>
  <si>
    <t>TXN-10742</t>
  </si>
  <si>
    <t>31/03/2024</t>
  </si>
  <si>
    <t>TXN-10294</t>
  </si>
  <si>
    <t>2024-01-29</t>
  </si>
  <si>
    <t>Procurment</t>
  </si>
  <si>
    <t>TXN-10939</t>
  </si>
  <si>
    <t>29/05/2024</t>
  </si>
  <si>
    <t>TXN-10661</t>
  </si>
  <si>
    <t>July 11, 2024</t>
  </si>
  <si>
    <t>TXN-10917</t>
  </si>
  <si>
    <t>01/04/2024</t>
  </si>
  <si>
    <t>TXN-10259</t>
  </si>
  <si>
    <t>10/11/2024</t>
  </si>
  <si>
    <t>TXN-10674</t>
  </si>
  <si>
    <t>TXN-10230</t>
  </si>
  <si>
    <t>2024-07-14</t>
  </si>
  <si>
    <t>TXN-10596</t>
  </si>
  <si>
    <t>TXN-10545</t>
  </si>
  <si>
    <t>2024-02-01</t>
  </si>
  <si>
    <t>TXN-10893</t>
  </si>
  <si>
    <t>TXN-10449</t>
  </si>
  <si>
    <t>TXN-10143</t>
  </si>
  <si>
    <t>2024-03-27</t>
  </si>
  <si>
    <t>TXN-10118</t>
  </si>
  <si>
    <t>TXN-10167</t>
  </si>
  <si>
    <t>2024-10-31</t>
  </si>
  <si>
    <t>TXN-10613</t>
  </si>
  <si>
    <t>17/12/2024</t>
  </si>
  <si>
    <t>TXN-10066</t>
  </si>
  <si>
    <t>2024-03-15</t>
  </si>
  <si>
    <t>TXN-10494</t>
  </si>
  <si>
    <t>January 23, 2024</t>
  </si>
  <si>
    <t>TXN-10374</t>
  </si>
  <si>
    <t>November 24, 2024</t>
  </si>
  <si>
    <t>TXN-10312</t>
  </si>
  <si>
    <t>2024-01-23</t>
  </si>
  <si>
    <t>TXN-10769</t>
  </si>
  <si>
    <t>March 28, 2024</t>
  </si>
  <si>
    <t>TXN-10909</t>
  </si>
  <si>
    <t>TXN-10694</t>
  </si>
  <si>
    <t>19/06/2024</t>
  </si>
  <si>
    <t>TXN-10616</t>
  </si>
  <si>
    <t>procurement</t>
  </si>
  <si>
    <t>TXN-10372</t>
  </si>
  <si>
    <t>September 30, 2024</t>
  </si>
  <si>
    <t>TXN-10378</t>
  </si>
  <si>
    <t>2024-05-27</t>
  </si>
  <si>
    <t>TXN-10578</t>
  </si>
  <si>
    <t>03/11/2024</t>
  </si>
  <si>
    <t>TXN-10207</t>
  </si>
  <si>
    <t>TXN-10830</t>
  </si>
  <si>
    <t>13/12/2024</t>
  </si>
  <si>
    <t>TXN-10789</t>
  </si>
  <si>
    <t>TXN-10480</t>
  </si>
  <si>
    <t>17/04/2024</t>
  </si>
  <si>
    <t>TXN-10224</t>
  </si>
  <si>
    <t>TXN-10825</t>
  </si>
  <si>
    <t>22/01/2024</t>
  </si>
  <si>
    <t>TXN-10583</t>
  </si>
  <si>
    <t>2024-09-14</t>
  </si>
  <si>
    <t>TXN-10718</t>
  </si>
  <si>
    <t>22/03/2024</t>
  </si>
  <si>
    <t>TXN-10318</t>
  </si>
  <si>
    <t>2024-08-26</t>
  </si>
  <si>
    <t>TXN-10150</t>
  </si>
  <si>
    <t>August 31, 2024</t>
  </si>
  <si>
    <t>TXN-10922</t>
  </si>
  <si>
    <t>2024-02-17</t>
  </si>
  <si>
    <t>TXN-10017</t>
  </si>
  <si>
    <t>TXN-10293</t>
  </si>
  <si>
    <t>TXN-10458</t>
  </si>
  <si>
    <t>26/12/2024</t>
  </si>
  <si>
    <t>TXN-10290</t>
  </si>
  <si>
    <t>2024-09-30</t>
  </si>
  <si>
    <t>TXN-10860</t>
  </si>
  <si>
    <t>2024-04-15</t>
  </si>
  <si>
    <t>TXN-10478</t>
  </si>
  <si>
    <t>TXN-10758</t>
  </si>
  <si>
    <t>17/06/2024</t>
  </si>
  <si>
    <t>TXN-10225</t>
  </si>
  <si>
    <t>TXN-10797</t>
  </si>
  <si>
    <t>TXN-10384</t>
  </si>
  <si>
    <t>Jan</t>
  </si>
  <si>
    <t>TXN-10641</t>
  </si>
  <si>
    <t>January 10, 2024</t>
  </si>
  <si>
    <t>TXN-10269</t>
  </si>
  <si>
    <t>TXN-10133</t>
  </si>
  <si>
    <t>2024-12-16</t>
  </si>
  <si>
    <t>TXN-10234</t>
  </si>
  <si>
    <t>November 16, 2024</t>
  </si>
  <si>
    <t>TXN-10160</t>
  </si>
  <si>
    <t>2024-06-16</t>
  </si>
  <si>
    <t>TXN-10679</t>
  </si>
  <si>
    <t>2024-04-17</t>
  </si>
  <si>
    <t>TXN-10803</t>
  </si>
  <si>
    <t>24/02/2024</t>
  </si>
  <si>
    <t>TXN-10257</t>
  </si>
  <si>
    <t>2024-07-24</t>
  </si>
  <si>
    <t>TXN-10856</t>
  </si>
  <si>
    <t>2024-01-28</t>
  </si>
  <si>
    <t>electronics</t>
  </si>
  <si>
    <t>TXN-10581</t>
  </si>
  <si>
    <t>11/06/2024</t>
  </si>
  <si>
    <t>TXN-10568</t>
  </si>
  <si>
    <t>2024-12-20</t>
  </si>
  <si>
    <t>TXN-10238</t>
  </si>
  <si>
    <t>TXN-10110</t>
  </si>
  <si>
    <t>TXN-10065</t>
  </si>
  <si>
    <t>TXN-10496</t>
  </si>
  <si>
    <t>2024-04-29</t>
  </si>
  <si>
    <t>TXN-10868</t>
  </si>
  <si>
    <t>July 25, 2024</t>
  </si>
  <si>
    <t>TXN-10264</t>
  </si>
  <si>
    <t>TXN-10697</t>
  </si>
  <si>
    <t>TXN-10809</t>
  </si>
  <si>
    <t>2024-04-07</t>
  </si>
  <si>
    <t>TXN-10768</t>
  </si>
  <si>
    <t xml:space="preserve">Sarawak </t>
  </si>
  <si>
    <t>TXN-10663</t>
  </si>
  <si>
    <t>2024-07-19</t>
  </si>
  <si>
    <t>TXN-10698</t>
  </si>
  <si>
    <t>08/06/2024</t>
  </si>
  <si>
    <t>TXN-10947</t>
  </si>
  <si>
    <t>31/05/2024</t>
  </si>
  <si>
    <t>TXN-10456</t>
  </si>
  <si>
    <t>TXN-10924</t>
  </si>
  <si>
    <t>November 22, 2024</t>
  </si>
  <si>
    <t>TXN-10311</t>
  </si>
  <si>
    <t>TXN-10904</t>
  </si>
  <si>
    <t>TXN-10811</t>
  </si>
  <si>
    <t>October 08, 2024</t>
  </si>
  <si>
    <t>TXN-10762</t>
  </si>
  <si>
    <t>TXN-10858</t>
  </si>
  <si>
    <t>TXN-10926</t>
  </si>
  <si>
    <t>2024-01-21</t>
  </si>
  <si>
    <t>TXN-10866</t>
  </si>
  <si>
    <t>TXN-10611</t>
  </si>
  <si>
    <t>2024-08-30</t>
  </si>
  <si>
    <t>TXN-10413</t>
  </si>
  <si>
    <t>02/08/2024</t>
  </si>
  <si>
    <t>TXN-10820</t>
  </si>
  <si>
    <t>TXN-10515</t>
  </si>
  <si>
    <t>TXN-10431</t>
  </si>
  <si>
    <t>2024-09-27</t>
  </si>
  <si>
    <t>TXN-10880</t>
  </si>
  <si>
    <t>TXN-10677</t>
  </si>
  <si>
    <t>2024-11-21</t>
  </si>
  <si>
    <t>TXN-10872</t>
  </si>
  <si>
    <t>TXN-10057</t>
  </si>
  <si>
    <t>TXN-10575</t>
  </si>
  <si>
    <t>TXN-10295</t>
  </si>
  <si>
    <t>2024-03-17</t>
  </si>
  <si>
    <t>TXN-10681</t>
  </si>
  <si>
    <t>TXN-10055</t>
  </si>
  <si>
    <t>05/02/2024</t>
  </si>
  <si>
    <t>TXN-10675</t>
  </si>
  <si>
    <t>TXN-10019</t>
  </si>
  <si>
    <t>TXN-10196</t>
  </si>
  <si>
    <t>TXN-10646</t>
  </si>
  <si>
    <t>2024-11-18</t>
  </si>
  <si>
    <t>TXN-10180</t>
  </si>
  <si>
    <t>TXN-10734</t>
  </si>
  <si>
    <t>2024-01-25</t>
  </si>
  <si>
    <t>TXN-10300</t>
  </si>
  <si>
    <t>January 31, 2024</t>
  </si>
  <si>
    <t>TXN-10779</t>
  </si>
  <si>
    <t>TXN-10355</t>
  </si>
  <si>
    <t>2024-09-06</t>
  </si>
  <si>
    <t>TXN-10424</t>
  </si>
  <si>
    <t>2024-11-27</t>
  </si>
  <si>
    <t>TXN-10625</t>
  </si>
  <si>
    <t>January 18, 2024</t>
  </si>
  <si>
    <t>TXN-10594</t>
  </si>
  <si>
    <t>TXN-10069</t>
  </si>
  <si>
    <t>TXN-10347</t>
  </si>
  <si>
    <t>TXN-10745</t>
  </si>
  <si>
    <t>2024-11-04</t>
  </si>
  <si>
    <t>TXN-10286</t>
  </si>
  <si>
    <t>TXN-10369</t>
  </si>
  <si>
    <t>TXN-10154</t>
  </si>
  <si>
    <t>2024-03-29</t>
  </si>
  <si>
    <t>TXN-10419</t>
  </si>
  <si>
    <t>26/10/2024</t>
  </si>
  <si>
    <t xml:space="preserve">Sabah </t>
  </si>
  <si>
    <t>TXN-10529</t>
  </si>
  <si>
    <t>2024-11-14</t>
  </si>
  <si>
    <t>TXN-10687</t>
  </si>
  <si>
    <t>TXN-10334</t>
  </si>
  <si>
    <t>11/10/2024</t>
  </si>
  <si>
    <t>TXN-10692</t>
  </si>
  <si>
    <t>TXN-10561</t>
  </si>
  <si>
    <t>2024-03-16</t>
  </si>
  <si>
    <t>TXN-10241</t>
  </si>
  <si>
    <t>27/11/2024</t>
  </si>
  <si>
    <t>TXN-10949</t>
  </si>
  <si>
    <t>16/01/2024</t>
  </si>
  <si>
    <t>TXN-10570</t>
  </si>
  <si>
    <t>TXN-10929</t>
  </si>
  <si>
    <t>2024-03-04</t>
  </si>
  <si>
    <t>TXN-10049</t>
  </si>
  <si>
    <t>TXN-10162</t>
  </si>
  <si>
    <t>TXN-10181</t>
  </si>
  <si>
    <t>TXN-10888</t>
  </si>
  <si>
    <t>2024-09-13</t>
  </si>
  <si>
    <t>TXN-10329</t>
  </si>
  <si>
    <t>TXN-10215</t>
  </si>
  <si>
    <t>TXN-10094</t>
  </si>
  <si>
    <t>2024-02-12</t>
  </si>
  <si>
    <t>TXN-10346</t>
  </si>
  <si>
    <t>2024-02-07</t>
  </si>
  <si>
    <t>TXN-10107</t>
  </si>
  <si>
    <t>July 24, 2024</t>
  </si>
  <si>
    <t>TXN-10012</t>
  </si>
  <si>
    <t>TXN-10316</t>
  </si>
  <si>
    <t>TXN-10193</t>
  </si>
  <si>
    <t>2024-06-01</t>
  </si>
  <si>
    <t>TXN-10905</t>
  </si>
  <si>
    <t>TXN-10164</t>
  </si>
  <si>
    <t>TXN-10597</t>
  </si>
  <si>
    <t>TXN-10861</t>
  </si>
  <si>
    <t>TXN-10654</t>
  </si>
  <si>
    <t>TXN-10229</t>
  </si>
  <si>
    <t>22/11/2024</t>
  </si>
  <si>
    <t>TXN-10787</t>
  </si>
  <si>
    <t>TXN-10380</t>
  </si>
  <si>
    <t>23/11/2024</t>
  </si>
  <si>
    <t>TXN-10157</t>
  </si>
  <si>
    <t>TXN-10670</t>
  </si>
  <si>
    <t>2024-08-07</t>
  </si>
  <si>
    <t>TXN-10018</t>
  </si>
  <si>
    <t>20/03/2024</t>
  </si>
  <si>
    <t>TXN-10102</t>
  </si>
  <si>
    <t>27/03/2024</t>
  </si>
  <si>
    <t>TXN-10850</t>
  </si>
  <si>
    <t>TXN-10764</t>
  </si>
  <si>
    <t>24/12/2024</t>
  </si>
  <si>
    <t>TXN-10186</t>
  </si>
  <si>
    <t>01/01/2024</t>
  </si>
  <si>
    <t>TXN-10351</t>
  </si>
  <si>
    <t>TXN-10524</t>
  </si>
  <si>
    <t>TXN-10016</t>
  </si>
  <si>
    <t>2024-03-08</t>
  </si>
  <si>
    <t>TXN-10407</t>
  </si>
  <si>
    <t>2024-07-20</t>
  </si>
  <si>
    <t>TXN-10563</t>
  </si>
  <si>
    <t>2024-10-22</t>
  </si>
  <si>
    <t>furniture</t>
  </si>
  <si>
    <t>TXN-10656</t>
  </si>
  <si>
    <t>25/01/2024</t>
  </si>
  <si>
    <t>TXN-10591</t>
  </si>
  <si>
    <t>TXN-10189</t>
  </si>
  <si>
    <t>TXN-10135</t>
  </si>
  <si>
    <t>09/01/2024</t>
  </si>
  <si>
    <t>TXN-10301</t>
  </si>
  <si>
    <t>2024-09-17</t>
  </si>
  <si>
    <t>TXN-10309</t>
  </si>
  <si>
    <t>TXN-10231</t>
  </si>
  <si>
    <t>TXN-10149</t>
  </si>
  <si>
    <t>23/04/2024</t>
  </si>
  <si>
    <t>TXN-10056</t>
  </si>
  <si>
    <t>30/05/2024</t>
  </si>
  <si>
    <t>TXN-10844</t>
  </si>
  <si>
    <t>TXN-10251</t>
  </si>
  <si>
    <t>TXN-10314</t>
  </si>
  <si>
    <t>TXN-10846</t>
  </si>
  <si>
    <t>09/03/2024</t>
  </si>
  <si>
    <t>TXN-10999</t>
  </si>
  <si>
    <t>TXN-10007</t>
  </si>
  <si>
    <t>December 15, 2024</t>
  </si>
  <si>
    <t>TXN-10988</t>
  </si>
  <si>
    <t>TXN-10845</t>
  </si>
  <si>
    <t>TXN-10172</t>
  </si>
  <si>
    <t>February 29, 2024</t>
  </si>
  <si>
    <t>TXN-10114</t>
  </si>
  <si>
    <t>TXN-10553</t>
  </si>
  <si>
    <t>01/07/2024</t>
  </si>
  <si>
    <t>TXN-10761</t>
  </si>
  <si>
    <t>May 09, 2024</t>
  </si>
  <si>
    <t>TXN-10418</t>
  </si>
  <si>
    <t>TXN-10778</t>
  </si>
  <si>
    <t>TXN-10324</t>
  </si>
  <si>
    <t>2024-01-24</t>
  </si>
  <si>
    <t>TXN-10260</t>
  </si>
  <si>
    <t>2024-10-13</t>
  </si>
  <si>
    <t>TXN-10026</t>
  </si>
  <si>
    <t>December 11, 2024</t>
  </si>
  <si>
    <t>TXN-10744</t>
  </si>
  <si>
    <t>TXN-10842</t>
  </si>
  <si>
    <t>TXN-10146</t>
  </si>
  <si>
    <t>TXN-10633</t>
  </si>
  <si>
    <t>TXN-10935</t>
  </si>
  <si>
    <t>TXN-10660</t>
  </si>
  <si>
    <t>18/11/2024</t>
  </si>
  <si>
    <t>TXN-10484</t>
  </si>
  <si>
    <t>TXN-10895</t>
  </si>
  <si>
    <t>TXN-10043</t>
  </si>
  <si>
    <t>TXN-10390</t>
  </si>
  <si>
    <t>August 05, 2024</t>
  </si>
  <si>
    <t>TXN-10554</t>
  </si>
  <si>
    <t>2024-04-14</t>
  </si>
  <si>
    <t>TXN-10708</t>
  </si>
  <si>
    <t>TXN-10112</t>
  </si>
  <si>
    <t>TXN-10096</t>
  </si>
  <si>
    <t>2024-11-26</t>
  </si>
  <si>
    <t>TXN-10165</t>
  </si>
  <si>
    <t>TXN-10176</t>
  </si>
  <si>
    <t>TXN-10600</t>
  </si>
  <si>
    <t>TXN-10195</t>
  </si>
  <si>
    <t>TXN-10092</t>
  </si>
  <si>
    <t>16/12/2024</t>
  </si>
  <si>
    <t>TXN-10645</t>
  </si>
  <si>
    <t>July 02, 2024</t>
  </si>
  <si>
    <t>TXN-10222</t>
  </si>
  <si>
    <t>TXN-10680</t>
  </si>
  <si>
    <t>2024-06-03</t>
  </si>
  <si>
    <t>TXN-10027</t>
  </si>
  <si>
    <t>31/08/2024</t>
  </si>
  <si>
    <t>TXN-10608</t>
  </si>
  <si>
    <t>TXN-10031</t>
  </si>
  <si>
    <t>TXN-10755</t>
  </si>
  <si>
    <t>TXN-10974</t>
  </si>
  <si>
    <t>2024-05-14</t>
  </si>
  <si>
    <t>TXN-10672</t>
  </si>
  <si>
    <t>TXN-10099</t>
  </si>
  <si>
    <t>TXN-10916</t>
  </si>
  <si>
    <t>October 25, 2024</t>
  </si>
  <si>
    <t>TXN-10814</t>
  </si>
  <si>
    <t>20/10/2024</t>
  </si>
  <si>
    <t>TXN-10488</t>
  </si>
  <si>
    <t>2024-04-21</t>
  </si>
  <si>
    <t>TXN-10648</t>
  </si>
  <si>
    <t>TXN-10348</t>
  </si>
  <si>
    <t>TXN-10990</t>
  </si>
  <si>
    <t>TXN-10032</t>
  </si>
  <si>
    <t>TXN-10557</t>
  </si>
  <si>
    <t>TXN-10848</t>
  </si>
  <si>
    <t>TXN-10750</t>
  </si>
  <si>
    <t>TXN-10370</t>
  </si>
  <si>
    <t>2024-10-17</t>
  </si>
  <si>
    <t>TXN-10585</t>
  </si>
  <si>
    <t>15/11/2024</t>
  </si>
  <si>
    <t>TXN-10945</t>
  </si>
  <si>
    <t>TXN-10816</t>
  </si>
  <si>
    <t>2024-05-19</t>
  </si>
  <si>
    <t>TXN-10425</t>
  </si>
  <si>
    <t>2024-08-05</t>
  </si>
  <si>
    <t>TXN-10344</t>
  </si>
  <si>
    <t>February 20, 2024</t>
  </si>
  <si>
    <t>TXN-10033</t>
  </si>
  <si>
    <t>TXN-10684</t>
  </si>
  <si>
    <t>2024-01-15</t>
  </si>
  <si>
    <t>TXN-10156</t>
  </si>
  <si>
    <t>2024-05-17</t>
  </si>
  <si>
    <t>TXN-10212</t>
  </si>
  <si>
    <t>TXN-10174</t>
  </si>
  <si>
    <t>TXN-10460</t>
  </si>
  <si>
    <t>2024-09-09</t>
  </si>
  <si>
    <t>TXN-10409</t>
  </si>
  <si>
    <t>TXN-10918</t>
  </si>
  <si>
    <t>2024-03-22</t>
  </si>
  <si>
    <t>TXN-10153</t>
  </si>
  <si>
    <t>TXN-10509</t>
  </si>
  <si>
    <t>TXN-10052</t>
  </si>
  <si>
    <t>TXN-10897</t>
  </si>
  <si>
    <t>TXN-10391</t>
  </si>
  <si>
    <t>TXN-10442</t>
  </si>
  <si>
    <t>2024-09-15</t>
  </si>
  <si>
    <t>TXN-10539</t>
  </si>
  <si>
    <t>TXN-10392</t>
  </si>
  <si>
    <t>September 09, 2024</t>
  </si>
  <si>
    <t>sales</t>
  </si>
  <si>
    <t>TXN-10737</t>
  </si>
  <si>
    <t>2024-09-29</t>
  </si>
  <si>
    <t>TXN-10705</t>
  </si>
  <si>
    <t>2024-12-13</t>
  </si>
  <si>
    <t>TXN-10037</t>
  </si>
  <si>
    <t>November 29, 2024</t>
  </si>
  <si>
    <t>TXN-10053</t>
  </si>
  <si>
    <t>2024-07-29</t>
  </si>
  <si>
    <t>TXN-10547</t>
  </si>
  <si>
    <t>November 28, 2024</t>
  </si>
  <si>
    <t>TXN-10111</t>
  </si>
  <si>
    <t>TXN-10683</t>
  </si>
  <si>
    <t>September 02, 2024</t>
  </si>
  <si>
    <t>TXN-10702</t>
  </si>
  <si>
    <t>TXN-10177</t>
  </si>
  <si>
    <t>2024-06-10</t>
  </si>
  <si>
    <t>TXN-10720</t>
  </si>
  <si>
    <t>2024-09-04</t>
  </si>
  <si>
    <t>TXN-10826</t>
  </si>
  <si>
    <t>TXN-10715</t>
  </si>
  <si>
    <t>06/11/2024</t>
  </si>
  <si>
    <t>TXN-10297</t>
  </si>
  <si>
    <t>TXN-10190</t>
  </si>
  <si>
    <t>2024-05-11</t>
  </si>
  <si>
    <t>TXN-10829</t>
  </si>
  <si>
    <t>TXN-10306</t>
  </si>
  <si>
    <t>09/11/2024</t>
  </si>
  <si>
    <t>TXN-10783</t>
  </si>
  <si>
    <t>2024-11-30</t>
  </si>
  <si>
    <t>TXN-10931</t>
  </si>
  <si>
    <t>07/06/2024</t>
  </si>
  <si>
    <t>TXN-10824</t>
  </si>
  <si>
    <t>TXN-10852</t>
  </si>
  <si>
    <t>27/06/2024</t>
  </si>
  <si>
    <t>TXN-10188</t>
  </si>
  <si>
    <t>TXN-10832</t>
  </si>
  <si>
    <t>2024-08-29</t>
  </si>
  <si>
    <t>TXN-10417</t>
  </si>
  <si>
    <t>TXN-10786</t>
  </si>
  <si>
    <t>2024-04-04</t>
  </si>
  <si>
    <t>TXN-10965</t>
  </si>
  <si>
    <t>21/08/2024</t>
  </si>
  <si>
    <t>TXN-10400</t>
  </si>
  <si>
    <t>TXN-10155</t>
  </si>
  <si>
    <t>31/07/2024</t>
  </si>
  <si>
    <t>TXN-10717</t>
  </si>
  <si>
    <t>TXN-10572</t>
  </si>
  <si>
    <t>TXN-10602</t>
  </si>
  <si>
    <t>TXN-10865</t>
  </si>
  <si>
    <t>2024-08-04</t>
  </si>
  <si>
    <t>TXN-10477</t>
  </si>
  <si>
    <t>2024-09-22</t>
  </si>
  <si>
    <t>TXN-10863</t>
  </si>
  <si>
    <t>November 26, 2024</t>
  </si>
  <si>
    <t>TXN-10284</t>
  </si>
  <si>
    <t>September 05, 2024</t>
  </si>
  <si>
    <t>TXN-10652</t>
  </si>
  <si>
    <t>TXN-10148</t>
  </si>
  <si>
    <t>TXN-10833</t>
  </si>
  <si>
    <t>TXN-10317</t>
  </si>
  <si>
    <t>TXN-10631</t>
  </si>
  <si>
    <t>TXN-10495</t>
  </si>
  <si>
    <t>TXN-10637</t>
  </si>
  <si>
    <t>TXN-10969</t>
  </si>
  <si>
    <t>2024-03-07</t>
  </si>
  <si>
    <t>TXN-10078</t>
  </si>
  <si>
    <t>TXN-10659</t>
  </si>
  <si>
    <t>2024-03-02</t>
  </si>
  <si>
    <t>TXN-10565</t>
  </si>
  <si>
    <t>2024-09-01</t>
  </si>
  <si>
    <t>TXN-10870</t>
  </si>
  <si>
    <t>TXN-10381</t>
  </si>
  <si>
    <t>TXN-10973</t>
  </si>
  <si>
    <t>October 21, 2024</t>
  </si>
  <si>
    <t>TXN-10221</t>
  </si>
  <si>
    <t>2024-10-12</t>
  </si>
  <si>
    <t>TXN-10579</t>
  </si>
  <si>
    <t>February 11, 2024</t>
  </si>
  <si>
    <t>TXN-10103</t>
  </si>
  <si>
    <t>TXN-10279</t>
  </si>
  <si>
    <t>TXN-10606</t>
  </si>
  <si>
    <t>TXN-10507</t>
  </si>
  <si>
    <t>TXN-10058</t>
  </si>
  <si>
    <t>TXN-11000</t>
  </si>
  <si>
    <t>2024-07-06</t>
  </si>
  <si>
    <t>TXN-10068</t>
  </si>
  <si>
    <t>2024-06-13</t>
  </si>
  <si>
    <t>TXN-10287</t>
  </si>
  <si>
    <t>July 17, 2024</t>
  </si>
  <si>
    <t>TXN-10275</t>
  </si>
  <si>
    <t>2024-04-26</t>
  </si>
  <si>
    <t>TXN-10914</t>
  </si>
  <si>
    <t>October 07, 2024</t>
  </si>
  <si>
    <t>TXN-10940</t>
  </si>
  <si>
    <t>TXN-10835</t>
  </si>
  <si>
    <t>TXN-10953</t>
  </si>
  <si>
    <t>January 01, 2024</t>
  </si>
  <si>
    <t>TXN-10365</t>
  </si>
  <si>
    <t>TXN-10669</t>
  </si>
  <si>
    <t>TXN-10626</t>
  </si>
  <si>
    <t>19/09/2024</t>
  </si>
  <si>
    <t>TXN-10088</t>
  </si>
  <si>
    <t>TXN-10780</t>
  </si>
  <si>
    <t>TXN-10175</t>
  </si>
  <si>
    <t>TXN-10671</t>
  </si>
  <si>
    <t>TXN-10070</t>
  </si>
  <si>
    <t>2024-02-13</t>
  </si>
  <si>
    <t>TXN-10041</t>
  </si>
  <si>
    <t>February 21, 2024</t>
  </si>
  <si>
    <t>TXN-10171</t>
  </si>
  <si>
    <t>2024-01-16</t>
  </si>
  <si>
    <t>TXN-10812</t>
  </si>
  <si>
    <t>TXN-10706</t>
  </si>
  <si>
    <t>TXN-10137</t>
  </si>
  <si>
    <t>July 12, 2024</t>
  </si>
  <si>
    <t>TXN-10406</t>
  </si>
  <si>
    <t>November 06, 2024</t>
  </si>
  <si>
    <t>TXN-10131</t>
  </si>
  <si>
    <t>2024-12-26</t>
  </si>
  <si>
    <t>TXN-10559</t>
  </si>
  <si>
    <t>TXN-10978</t>
  </si>
  <si>
    <t>TXN-10884</t>
  </si>
  <si>
    <t>TXN-10653</t>
  </si>
  <si>
    <t>May 14, 2024</t>
  </si>
  <si>
    <t>TXN-10723</t>
  </si>
  <si>
    <t>TXN-10198</t>
  </si>
  <si>
    <t>21/02/2024</t>
  </si>
  <si>
    <t>TXN-10944</t>
  </si>
  <si>
    <t>TXN-10116</t>
  </si>
  <si>
    <t>2024-08-31</t>
  </si>
  <si>
    <t>TXN-10638</t>
  </si>
  <si>
    <t>TXN-10620</t>
  </si>
  <si>
    <t>04/05/2024</t>
  </si>
  <si>
    <t>TXN-10813</t>
  </si>
  <si>
    <t>TXN-10239</t>
  </si>
  <si>
    <t>18/08/2024</t>
  </si>
  <si>
    <t>TXN-10223</t>
  </si>
  <si>
    <t>16/02/2024</t>
  </si>
  <si>
    <t>TXN-10258</t>
  </si>
  <si>
    <t>23/09/2024</t>
  </si>
  <si>
    <t>TXN-10461</t>
  </si>
  <si>
    <t>October 28, 2024</t>
  </si>
  <si>
    <t>TXN-10487</t>
  </si>
  <si>
    <t>TXN-10956</t>
  </si>
  <si>
    <t>July 29, 2024</t>
  </si>
  <si>
    <t>TXN-10415</t>
  </si>
  <si>
    <t>November 13, 2024</t>
  </si>
  <si>
    <t>TXN-10240</t>
  </si>
  <si>
    <t>TXN-10228</t>
  </si>
  <si>
    <t>TXN-10525</t>
  </si>
  <si>
    <t>TXN-10368</t>
  </si>
  <si>
    <t>February 09, 2024</t>
  </si>
  <si>
    <t>TXN-10668</t>
  </si>
  <si>
    <t>03/06/2024</t>
  </si>
  <si>
    <t>TXN-10454</t>
  </si>
  <si>
    <t>2024-10-11</t>
  </si>
  <si>
    <t>TXN-10482</t>
  </si>
  <si>
    <t>TXN-10562</t>
  </si>
  <si>
    <t>2024-07-30</t>
  </si>
  <si>
    <t>TXN-10937</t>
  </si>
  <si>
    <t>TXN-10506</t>
  </si>
  <si>
    <t>TXN-10520</t>
  </si>
  <si>
    <t>2024-04-01</t>
  </si>
  <si>
    <t>TXN-10067</t>
  </si>
  <si>
    <t>July 04, 2024</t>
  </si>
  <si>
    <t>TXN-10516</t>
  </si>
  <si>
    <t>14/07/2024</t>
  </si>
  <si>
    <t>TXN-10605</t>
  </si>
  <si>
    <t>October 29, 2024</t>
  </si>
  <si>
    <t>TXN-10808</t>
  </si>
  <si>
    <t>2024-12-11</t>
  </si>
  <si>
    <t>TXN-10313</t>
  </si>
  <si>
    <t>TXN-10208</t>
  </si>
  <si>
    <t>TXN-10839</t>
  </si>
  <si>
    <t>May 10, 2024</t>
  </si>
  <si>
    <t>TXN-10739</t>
  </si>
  <si>
    <t>TXN-10799</t>
  </si>
  <si>
    <t>TXN-10393</t>
  </si>
  <si>
    <t>14/08/2024</t>
  </si>
  <si>
    <t>TXN-10109</t>
  </si>
  <si>
    <t>2024-11-09</t>
  </si>
  <si>
    <t>TXN-10123</t>
  </si>
  <si>
    <t>TXN-10819</t>
  </si>
  <si>
    <t>TXN-10567</t>
  </si>
  <si>
    <t>19/10/2024</t>
  </si>
  <si>
    <t>TXN-10658</t>
  </si>
  <si>
    <t>TXN-10948</t>
  </si>
  <si>
    <t>TXN-10202</t>
  </si>
  <si>
    <t>TXN-10273</t>
  </si>
  <si>
    <t>TXN-10756</t>
  </si>
  <si>
    <t>2024-11-08</t>
  </si>
  <si>
    <t>TXN-10127</t>
  </si>
  <si>
    <t>TXN-10941</t>
  </si>
  <si>
    <t>July 21, 2024</t>
  </si>
  <si>
    <t>TXN-10140</t>
  </si>
  <si>
    <t>2024-02-08</t>
  </si>
  <si>
    <t>TXN-10798</t>
  </si>
  <si>
    <t>January 11, 2024</t>
  </si>
  <si>
    <t>TXN-10551</t>
  </si>
  <si>
    <t>TXN-10337</t>
  </si>
  <si>
    <t>2024-09-24</t>
  </si>
  <si>
    <t>TXN-10243</t>
  </si>
  <si>
    <t>2024-10-24</t>
  </si>
  <si>
    <t>TXN-10724</t>
  </si>
  <si>
    <t>28/10/2024</t>
  </si>
  <si>
    <t>TXN-10115</t>
  </si>
  <si>
    <t>25/02/2024</t>
  </si>
  <si>
    <t>TXN-10360</t>
  </si>
  <si>
    <t>TXN-10328</t>
  </si>
  <si>
    <t>2024-02-03</t>
  </si>
  <si>
    <t>TXN-10277</t>
  </si>
  <si>
    <t>2024-09-21</t>
  </si>
  <si>
    <t>TXN-10466</t>
  </si>
  <si>
    <t>TXN-10805</t>
  </si>
  <si>
    <t>TXN-10876</t>
  </si>
  <si>
    <t>2024-10-07</t>
  </si>
  <si>
    <t>TXN-10285</t>
  </si>
  <si>
    <t>TXN-10550</t>
  </si>
  <si>
    <t>TXN-10518</t>
  </si>
  <si>
    <t>TXN-10772</t>
  </si>
  <si>
    <t>TXN-10178</t>
  </si>
  <si>
    <t>25/08/2024</t>
  </si>
  <si>
    <t>TXN-10584</t>
  </si>
  <si>
    <t>TXN-10004</t>
  </si>
  <si>
    <t>April 17, 2024</t>
  </si>
  <si>
    <t>TXN-10709</t>
  </si>
  <si>
    <t>TXN-10913</t>
  </si>
  <si>
    <t>03/05/2024</t>
  </si>
  <si>
    <t>TXN-10622</t>
  </si>
  <si>
    <t>04/01/2024</t>
  </si>
  <si>
    <t>TXN-10984</t>
  </si>
  <si>
    <t>TXN-10775</t>
  </si>
  <si>
    <t>13/08/2024</t>
  </si>
  <si>
    <t>TXN-10712</t>
  </si>
  <si>
    <t>TXN-10267</t>
  </si>
  <si>
    <t>09/07/2024</t>
  </si>
  <si>
    <t>TXN-10934</t>
  </si>
  <si>
    <t>20/04/2024</t>
  </si>
  <si>
    <t>TXN-10508</t>
  </si>
  <si>
    <t>April 18, 2024</t>
  </si>
  <si>
    <t>TXN-10429</t>
  </si>
  <si>
    <t>TXN-10046</t>
  </si>
  <si>
    <t>2024-08-27</t>
  </si>
  <si>
    <t>TXN-10589</t>
  </si>
  <si>
    <t>TXN-10422</t>
  </si>
  <si>
    <t>TXN-10995</t>
  </si>
  <si>
    <t>TXN-10023</t>
  </si>
  <si>
    <t>TXN-10217</t>
  </si>
  <si>
    <t>TXN-10325</t>
  </si>
  <si>
    <t>TXN-10607</t>
  </si>
  <si>
    <t>2024-03-01</t>
  </si>
  <si>
    <t>TXN-10236</t>
  </si>
  <si>
    <t>2024-11-24</t>
  </si>
  <si>
    <t>TXN-10593</t>
  </si>
  <si>
    <t>TXN-10774</t>
  </si>
  <si>
    <t>TXN-10883</t>
  </si>
  <si>
    <t>TXN-10465</t>
  </si>
  <si>
    <t>18/02/2024</t>
  </si>
  <si>
    <t>Furnture</t>
  </si>
  <si>
    <t>TXN-10278</t>
  </si>
  <si>
    <t>TXN-10693</t>
  </si>
  <si>
    <t>16/09/2024</t>
  </si>
  <si>
    <t>TXN-10266</t>
  </si>
  <si>
    <t>TXN-10903</t>
  </si>
  <si>
    <t>TXN-10270</t>
  </si>
  <si>
    <t>TXN-10105</t>
  </si>
  <si>
    <t>August 02, 2024</t>
  </si>
  <si>
    <t>TXN-10927</t>
  </si>
  <si>
    <t>TXN-10873</t>
  </si>
  <si>
    <t>06/09/2024</t>
  </si>
  <si>
    <t>TXN-10433</t>
  </si>
  <si>
    <t>TXN-10214</t>
  </si>
  <si>
    <t>TXN-10430</t>
  </si>
  <si>
    <t>TXN-10499</t>
  </si>
  <si>
    <t>2024-02-05</t>
  </si>
  <si>
    <t>TXN-10147</t>
  </si>
  <si>
    <t>TXN-10271</t>
  </si>
  <si>
    <t>26/04/2024</t>
  </si>
  <si>
    <t>TXN-10009</t>
  </si>
  <si>
    <t>TXN-10220</t>
  </si>
  <si>
    <t>TXN-10503</t>
  </si>
  <si>
    <t>TXN-10952</t>
  </si>
  <si>
    <t>TXN-10002</t>
  </si>
  <si>
    <t>TXN-10560</t>
  </si>
  <si>
    <t>December 17, 2024</t>
  </si>
  <si>
    <t>TXN-10574</t>
  </si>
  <si>
    <t>TXN-10686</t>
  </si>
  <si>
    <t>13/09/2024</t>
  </si>
  <si>
    <t>TXN-10194</t>
  </si>
  <si>
    <t>TXN-10039</t>
  </si>
  <si>
    <t>TXN-10128</t>
  </si>
  <si>
    <t>TXN-10383</t>
  </si>
  <si>
    <t>TXN-10875</t>
  </si>
  <si>
    <t>TXN-10272</t>
  </si>
  <si>
    <t>TXN-10951</t>
  </si>
  <si>
    <t>TXN-10651</t>
  </si>
  <si>
    <t>28/07/2024</t>
  </si>
  <si>
    <t>TXN-10549</t>
  </si>
  <si>
    <t>March 01, 2024</t>
  </si>
  <si>
    <t>TXN-10896</t>
  </si>
  <si>
    <t>TXN-10210</t>
  </si>
  <si>
    <t>TXN-10650</t>
  </si>
  <si>
    <t>27/09/2024</t>
  </si>
  <si>
    <t>TXN-10332</t>
  </si>
  <si>
    <t>2024-06-11</t>
  </si>
  <si>
    <t>TXN-10942</t>
  </si>
  <si>
    <t>November 07, 2024</t>
  </si>
  <si>
    <t>TXN-10639</t>
  </si>
  <si>
    <t>May 05, 2024</t>
  </si>
  <si>
    <t>TXN-10036</t>
  </si>
  <si>
    <t>June 26, 2024</t>
  </si>
  <si>
    <t>TXN-10079</t>
  </si>
  <si>
    <t>2024-10-16</t>
  </si>
  <si>
    <t xml:space="preserve">Johor </t>
  </si>
  <si>
    <t>TXN-10423</t>
  </si>
  <si>
    <t>2024-07-17</t>
  </si>
  <si>
    <t>TXN-10700</t>
  </si>
  <si>
    <t>TXN-10915</t>
  </si>
  <si>
    <t>TXN-10837</t>
  </si>
  <si>
    <t>04/06/2024</t>
  </si>
  <si>
    <t>TXN-10071</t>
  </si>
  <si>
    <t>TXN-10263</t>
  </si>
  <si>
    <t>TXN-10262</t>
  </si>
  <si>
    <t>TXN-10827</t>
  </si>
  <si>
    <t>December 07, 2024</t>
  </si>
  <si>
    <t>TXN-10387</t>
  </si>
  <si>
    <t>TXN-10085</t>
  </si>
  <si>
    <t>TXN-10534</t>
  </si>
  <si>
    <t>27/12/2024</t>
  </si>
  <si>
    <t>TXN-10182</t>
  </si>
  <si>
    <t>2024-09-12</t>
  </si>
  <si>
    <t>TXN-10256</t>
  </si>
  <si>
    <t>12/10/2024</t>
  </si>
  <si>
    <t>TXN-10943</t>
  </si>
  <si>
    <t>03/04/2024</t>
  </si>
  <si>
    <t>TXN-10005</t>
  </si>
  <si>
    <t>TXN-10420</t>
  </si>
  <si>
    <t>TXN-10388</t>
  </si>
  <si>
    <t>TXN-10666</t>
  </si>
  <si>
    <t>TXN-10785</t>
  </si>
  <si>
    <t>TXN-10432</t>
  </si>
  <si>
    <t>28/04/2024</t>
  </si>
  <si>
    <t>TXN-10609</t>
  </si>
  <si>
    <t>TXN-10911</t>
  </si>
  <si>
    <t>09/05/2024</t>
  </si>
  <si>
    <t>TXN-10163</t>
  </si>
  <si>
    <t>TXN-10029</t>
  </si>
  <si>
    <t>TXN-10468</t>
  </si>
  <si>
    <t>TXN-10498</t>
  </si>
  <si>
    <t>TXN-10483</t>
  </si>
  <si>
    <t>TXN-10891</t>
  </si>
  <si>
    <t>2024-10-06</t>
  </si>
  <si>
    <t>TXN-10521</t>
  </si>
  <si>
    <t>TXN-10859</t>
  </si>
  <si>
    <t>2024-08-10</t>
  </si>
  <si>
    <t>TXN-10980</t>
  </si>
  <si>
    <t>TXN-10676</t>
  </si>
  <si>
    <t>TXN-10957</t>
  </si>
  <si>
    <t>25/09/2024</t>
  </si>
  <si>
    <t>TXN-10629</t>
  </si>
  <si>
    <t>TXN-10696</t>
  </si>
  <si>
    <t>2024-03-09</t>
  </si>
  <si>
    <t>TXN-10403</t>
  </si>
  <si>
    <t>TXN-10899</t>
  </si>
  <si>
    <t>2024-07-13</t>
  </si>
  <si>
    <t>TXN-10298</t>
  </si>
  <si>
    <t>TXN-10936</t>
  </si>
  <si>
    <t>TXN-10962</t>
  </si>
  <si>
    <t>2024-02-28</t>
  </si>
  <si>
    <t>TXN-10119</t>
  </si>
  <si>
    <t>TXN-10356</t>
  </si>
  <si>
    <t>TXN-10366</t>
  </si>
  <si>
    <t>TXN-10191</t>
  </si>
  <si>
    <t>2024-04-25</t>
  </si>
  <si>
    <t>TXN-10923</t>
  </si>
  <si>
    <t>TXN-10500</t>
  </si>
  <si>
    <t>TXN-10992</t>
  </si>
  <si>
    <t>TXN-10246</t>
  </si>
  <si>
    <t>March 17, 2024</t>
  </si>
  <si>
    <t>TXN-10385</t>
  </si>
  <si>
    <t>TXN-10841</t>
  </si>
  <si>
    <t>2024-03-06</t>
  </si>
  <si>
    <t>TXN-10396</t>
  </si>
  <si>
    <t>2024-10-02</t>
  </si>
  <si>
    <t>TXN-10882</t>
  </si>
  <si>
    <t>TXN-10343</t>
  </si>
  <si>
    <t>TXN-10667</t>
  </si>
  <si>
    <t>TXN-10089</t>
  </si>
  <si>
    <t>2024-11-11</t>
  </si>
  <si>
    <t>TXN-10253</t>
  </si>
  <si>
    <t>TXN-10682</t>
  </si>
  <si>
    <t>TXN-10462</t>
  </si>
  <si>
    <t>TXN-10299</t>
  </si>
  <si>
    <t>TXN-10649</t>
  </si>
  <si>
    <t>TXN-10376</t>
  </si>
  <si>
    <t>TXN-10093</t>
  </si>
  <si>
    <t>November 27, 2024</t>
  </si>
  <si>
    <t>TXN-10441</t>
  </si>
  <si>
    <t>TXN-10862</t>
  </si>
  <si>
    <t>TXN-10770</t>
  </si>
  <si>
    <t>2024-08-08</t>
  </si>
  <si>
    <t>TXN-10330</t>
  </si>
  <si>
    <t>December 05, 2024</t>
  </si>
  <si>
    <t>TXN-10558</t>
  </si>
  <si>
    <t>TXN-10642</t>
  </si>
  <si>
    <t>TXN-10008</t>
  </si>
  <si>
    <t>11/04/2024</t>
  </si>
  <si>
    <t>TXN-10722</t>
  </si>
  <si>
    <t>TXN-10062</t>
  </si>
  <si>
    <t>2024-07-09</t>
  </si>
  <si>
    <t>TXN-10634</t>
  </si>
  <si>
    <t>05/12/2024</t>
  </si>
  <si>
    <t>TXN-10818</t>
  </si>
  <si>
    <t>TXN-10248</t>
  </si>
  <si>
    <t>TXN-10362</t>
  </si>
  <si>
    <t>TXN-10252</t>
  </si>
  <si>
    <t>2024-10-25</t>
  </si>
  <si>
    <t>TXN-10582</t>
  </si>
  <si>
    <t>February 19, 2024</t>
  </si>
  <si>
    <t>automotive parts</t>
  </si>
  <si>
    <t>TXN-10946</t>
  </si>
  <si>
    <t>TXN-10614</t>
  </si>
  <si>
    <t>2024-05-20</t>
  </si>
  <si>
    <t>TXN-10738</t>
  </si>
  <si>
    <t>February 05, 2024</t>
  </si>
  <si>
    <t>kuala lumpur</t>
  </si>
  <si>
    <t>TXN-10522</t>
  </si>
  <si>
    <t>10/04/2024</t>
  </si>
  <si>
    <t>TXN-10976</t>
  </si>
  <si>
    <t>TXN-10968</t>
  </si>
  <si>
    <t>TXN-10081</t>
  </si>
  <si>
    <t>March 18, 2024</t>
  </si>
  <si>
    <t>TXN-10451</t>
  </si>
  <si>
    <t>TXN-10144</t>
  </si>
  <si>
    <t>June 04, 2024</t>
  </si>
  <si>
    <t>TXN-10412</t>
  </si>
  <si>
    <t>TXN-10776</t>
  </si>
  <si>
    <t>April 02, 2024</t>
  </si>
  <si>
    <t>TXN-10389</t>
  </si>
  <si>
    <t>TXN-10211</t>
  </si>
  <si>
    <t>TXN-10967</t>
  </si>
  <si>
    <t>TXN-10806</t>
  </si>
  <si>
    <t>21/10/2024</t>
  </si>
  <si>
    <t>TXN-10815</t>
  </si>
  <si>
    <t>TXN-10714</t>
  </si>
  <si>
    <t>2024-11-05</t>
  </si>
  <si>
    <t>TXN-10352</t>
  </si>
  <si>
    <t>TXN-10928</t>
  </si>
  <si>
    <t>TXN-10072</t>
  </si>
  <si>
    <t>TXN-10411</t>
  </si>
  <si>
    <t>2024-04-27</t>
  </si>
  <si>
    <t>TXN-10473</t>
  </si>
  <si>
    <t>05/06/2024</t>
  </si>
  <si>
    <t>TXN-10732</t>
  </si>
  <si>
    <t>TXN-10218</t>
  </si>
  <si>
    <t>12/08/2024</t>
  </si>
  <si>
    <t>TXN-10139</t>
  </si>
  <si>
    <t>15/10/2024</t>
  </si>
  <si>
    <t>TXN-10901</t>
  </si>
  <si>
    <t>TXN-10063</t>
  </si>
  <si>
    <t>20/01/2024</t>
  </si>
  <si>
    <t>TXN-10966</t>
  </si>
  <si>
    <t>09/08/2024</t>
  </si>
  <si>
    <t>TXN-10291</t>
  </si>
  <si>
    <t>TXN-10971</t>
  </si>
  <si>
    <t>TXN-10126</t>
  </si>
  <si>
    <t>17/01/2024</t>
  </si>
  <si>
    <t>TXN-10735</t>
  </si>
  <si>
    <t>TXN-10877</t>
  </si>
  <si>
    <t>TXN-10104</t>
  </si>
  <si>
    <t>2024-03-14</t>
  </si>
  <si>
    <t>TXN-10817</t>
  </si>
  <si>
    <t>TXN-10548</t>
  </si>
  <si>
    <t>12/11/2024</t>
  </si>
  <si>
    <t>TXN-10847</t>
  </si>
  <si>
    <t>01/09/2024</t>
  </si>
  <si>
    <t>TXN-10336</t>
  </si>
  <si>
    <t>TXN-10544</t>
  </si>
  <si>
    <t>TXN-10707</t>
  </si>
  <si>
    <t>2024-03-28</t>
  </si>
  <si>
    <t>TXN-10061</t>
  </si>
  <si>
    <t>TXN-10983</t>
  </si>
  <si>
    <t>TXN-10044</t>
  </si>
  <si>
    <t>TXN-10437</t>
  </si>
  <si>
    <t>TXN-10741</t>
  </si>
  <si>
    <t>TXN-10250</t>
  </si>
  <si>
    <t>TXN-10996</t>
  </si>
  <si>
    <t>February 28, 2024</t>
  </si>
  <si>
    <t>TXN-10358</t>
  </si>
  <si>
    <t>TXN-10323</t>
  </si>
  <si>
    <t>TXN-10887</t>
  </si>
  <si>
    <t>TXN-10662</t>
  </si>
  <si>
    <t>December 29, 2024</t>
  </si>
  <si>
    <t>TXN-10138</t>
  </si>
  <si>
    <t>TXN-10315</t>
  </si>
  <si>
    <t>31/10/2024</t>
  </si>
  <si>
    <t>TXN-10486</t>
  </si>
  <si>
    <t>TXN-10588</t>
  </si>
  <si>
    <t>TXN-10874</t>
  </si>
  <si>
    <t>2024-05-21</t>
  </si>
  <si>
    <t>TXN-10129</t>
  </si>
  <si>
    <t>TXN-10546</t>
  </si>
  <si>
    <t>TXN-10879</t>
  </si>
  <si>
    <t>August 09, 2024</t>
  </si>
  <si>
    <t>TXN-10982</t>
  </si>
  <si>
    <t>TXN-10255</t>
  </si>
  <si>
    <t>TXN-10011</t>
  </si>
  <si>
    <t>2024-05-22</t>
  </si>
  <si>
    <t>TXN-10082</t>
  </si>
  <si>
    <t>June 22, 2024</t>
  </si>
  <si>
    <t>TXN-10599</t>
  </si>
  <si>
    <t>TXN-10807</t>
  </si>
  <si>
    <t>25/06/2024</t>
  </si>
  <si>
    <t>TXN-10247</t>
  </si>
  <si>
    <t>16/10/2024</t>
  </si>
  <si>
    <t>TXN-10590</t>
  </si>
  <si>
    <t>TXN-10997</t>
  </si>
  <si>
    <t>2024-12-10</t>
  </si>
  <si>
    <t>TXN-10125</t>
  </si>
  <si>
    <t>TXN-10765</t>
  </si>
  <si>
    <t>2024-07-16</t>
  </si>
  <si>
    <t>TXN-10021</t>
  </si>
  <si>
    <t>TXN-10405</t>
  </si>
  <si>
    <t>TXN-10130</t>
  </si>
  <si>
    <t>February 07, 2024</t>
  </si>
  <si>
    <t>TXN-10200</t>
  </si>
  <si>
    <t>TXN-10327</t>
  </si>
  <si>
    <t>2024-12-23</t>
  </si>
  <si>
    <t>TXN-10685</t>
  </si>
  <si>
    <t>2024-01-09</t>
  </si>
  <si>
    <t>TXN-10857</t>
  </si>
  <si>
    <t>TXN-10788</t>
  </si>
  <si>
    <t>TXN-10013</t>
  </si>
  <si>
    <t>TXN-10767</t>
  </si>
  <si>
    <t>July 05, 2024</t>
  </si>
  <si>
    <t>TXN-10985</t>
  </si>
  <si>
    <t>2024-06-25</t>
  </si>
  <si>
    <t>TXN-10476</t>
  </si>
  <si>
    <t>TXN-10740</t>
  </si>
  <si>
    <t>TXN-10773</t>
  </si>
  <si>
    <t>TXN-10022</t>
  </si>
  <si>
    <t>TXN-10552</t>
  </si>
  <si>
    <t>2024-05-07</t>
  </si>
  <si>
    <t>TXN-10517</t>
  </si>
  <si>
    <t>13/07/2024</t>
  </si>
  <si>
    <t>TXN-10763</t>
  </si>
  <si>
    <t>TXN-10321</t>
  </si>
  <si>
    <t>23/05/2024</t>
  </si>
  <si>
    <t>TXN-10673</t>
  </si>
  <si>
    <t>TXN-10849</t>
  </si>
  <si>
    <t>25/04/2024</t>
  </si>
  <si>
    <t>TXN-10644</t>
  </si>
  <si>
    <t>TXN-10184</t>
  </si>
  <si>
    <t>December 02, 2024</t>
  </si>
  <si>
    <t>TXN-10766</t>
  </si>
  <si>
    <t>TXN-10453</t>
  </si>
  <si>
    <t>2024-11-01</t>
  </si>
  <si>
    <t>TXN-10426</t>
  </si>
  <si>
    <t>August 20, 2024</t>
  </si>
  <si>
    <t>TXN-10867</t>
  </si>
  <si>
    <t>TXN-10871</t>
  </si>
  <si>
    <t>TXN-10303</t>
  </si>
  <si>
    <t>TXN-10647</t>
  </si>
  <si>
    <t>2024-11-03</t>
  </si>
  <si>
    <t>TXN-10759</t>
  </si>
  <si>
    <t>11/07/2024</t>
  </si>
  <si>
    <t>TXN-10097</t>
  </si>
  <si>
    <t>September 12, 2024</t>
  </si>
  <si>
    <t>TXN-10959</t>
  </si>
  <si>
    <t>TXN-10912</t>
  </si>
  <si>
    <t>TXN-10216</t>
  </si>
  <si>
    <t>TXN-10342</t>
  </si>
  <si>
    <t>TXN-10047</t>
  </si>
  <si>
    <t>TXN-10024</t>
  </si>
  <si>
    <t>02/10/2024</t>
  </si>
  <si>
    <t>TXN-10690</t>
  </si>
  <si>
    <t>TXN-10564</t>
  </si>
  <si>
    <t>14/03/2024</t>
  </si>
  <si>
    <t>TXN-10504</t>
  </si>
  <si>
    <t>TXN-10168</t>
  </si>
  <si>
    <t>Month Name</t>
  </si>
  <si>
    <t>Quarter</t>
  </si>
  <si>
    <t>Uknown</t>
  </si>
  <si>
    <t>Total Sales (Revenue)</t>
  </si>
  <si>
    <t>Total Profit</t>
  </si>
  <si>
    <t>Profit Margin</t>
  </si>
  <si>
    <t>Avg Customer Rating</t>
  </si>
  <si>
    <t>Total Complaint</t>
  </si>
  <si>
    <t>Avg Resolution Time</t>
  </si>
  <si>
    <t>Row Labels</t>
  </si>
  <si>
    <t>Grand Total</t>
  </si>
  <si>
    <t>Sum of Sales</t>
  </si>
  <si>
    <t>Sum of Profit</t>
  </si>
  <si>
    <t>Count of Customer_Complaint</t>
  </si>
  <si>
    <t>Average of Resolution_Days</t>
  </si>
  <si>
    <t>Average of Customer_Rating</t>
  </si>
  <si>
    <t>Total Sales</t>
  </si>
  <si>
    <t>OPERATIONS PERFORMANCE DASHBOARD</t>
  </si>
  <si>
    <t>FY2024 | Data covers Jan–Dec 2024, 1,000 cleaned transactions</t>
  </si>
  <si>
    <t>Total Complaints</t>
  </si>
  <si>
    <t>Unknown Region</t>
  </si>
  <si>
    <t>MONTH</t>
  </si>
  <si>
    <t>REGION</t>
  </si>
  <si>
    <t>DEPARTMENT</t>
  </si>
  <si>
    <t>Complaint Count by Department</t>
  </si>
  <si>
    <t>Sales &amp; Profit by Department</t>
  </si>
  <si>
    <t>Profit by Region</t>
  </si>
  <si>
    <t>Montly Sales &amp; Profit</t>
  </si>
  <si>
    <t>INSIGHTS</t>
  </si>
  <si>
    <t>▼ Select -&gt;</t>
  </si>
  <si>
    <t>All</t>
  </si>
  <si>
    <t>💰  TOTAL SALES (RM)</t>
  </si>
  <si>
    <t>💵  TOTAL PROFIT (RM)</t>
  </si>
  <si>
    <t>📊  PROFIT MARGIN</t>
  </si>
  <si>
    <t>⭐  AVG CUSTOMER RATING</t>
  </si>
  <si>
    <t>⚠  TOTAL COMPLAINTS</t>
  </si>
  <si>
    <t>⏱  AVG RESOLUTION (DAYS)</t>
  </si>
  <si>
    <t>▲ 12.6% vs LY</t>
  </si>
  <si>
    <t>▲ 15.8% vs LY</t>
  </si>
  <si>
    <t>▲ 2.3pp vs LY</t>
  </si>
  <si>
    <t>▲ 0.10 vs LY</t>
  </si>
  <si>
    <t>▼ 8.3% vs LY</t>
  </si>
  <si>
    <t>▼ 0.9 vs LY</t>
  </si>
  <si>
    <t>Note: 'vs LY' figures are illustrative for layout purposes only - this dataset covers FY2024 only and does not include a real prior-year baseline.</t>
  </si>
  <si>
    <t>Complaints</t>
  </si>
  <si>
    <t>• Logistics leads revenue.
• Sales and Procurement lead profit.
• Customer Support contributes the least.</t>
  </si>
  <si>
    <t>• Sarawak is the top performer.
• Major regions remain closely matched.
• Penang trails the group.</t>
  </si>
  <si>
    <t>• Peak performance in July and September.
• Revenue remains generally stable.
• Mild decline towards year-end</t>
  </si>
  <si>
    <t>• Logistics drives most complaints.
• Other departments are broadly similar.
• Logistics remains the key focus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</si>
</sst>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0.00,,\M"/>
    <numFmt numFmtId="166" formatCode="0,\K"/>
    <numFmt numFmtId="170" formatCode="0.0"/>
  </numFmts>
  <fonts count="18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20"/>
      <color theme="0"/>
      <name val="Arial"/>
      <family val="2"/>
    </font>
    <font>
      <i/>
      <sz val="10"/>
      <color rgb="FF666666"/>
      <name val="Arial"/>
      <family val="2"/>
    </font>
    <font>
      <b/>
      <sz val="10"/>
      <name val="Arial"/>
      <family val="2"/>
    </font>
    <font>
      <b/>
      <sz val="10"/>
      <color rgb="FF1F2A44"/>
      <name val="Arial"/>
      <family val="2"/>
    </font>
    <font>
      <sz val="9"/>
      <color rgb="FF3A3A3A"/>
      <name val="Arial"/>
      <family val="2"/>
    </font>
    <font>
      <sz val="9"/>
      <color rgb="FF1F2A44"/>
      <name val="Arial"/>
      <family val="2"/>
    </font>
    <font>
      <i/>
      <sz val="8"/>
      <color rgb="FF5F5E5A"/>
      <name val="Arial"/>
      <family val="2"/>
    </font>
    <font>
      <i/>
      <sz val="9"/>
      <color rgb="FF5F5E5A"/>
      <name val="Arial"/>
      <family val="2"/>
    </font>
    <font>
      <b/>
      <sz val="10"/>
      <color rgb="FFFFFFFF"/>
      <name val="Arial"/>
      <family val="2"/>
    </font>
    <font>
      <b/>
      <sz val="20"/>
      <color rgb="FF1F2A44"/>
      <name val="Arial"/>
      <family val="2"/>
    </font>
    <font>
      <b/>
      <sz val="9"/>
      <color rgb="FF2E8B57"/>
      <name val="Arial"/>
      <family val="2"/>
    </font>
    <font>
      <i/>
      <sz val="8"/>
      <color rgb="FF999999"/>
      <name val="Arial"/>
      <family val="2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E4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86AB"/>
        <bgColor rgb="FF378ADD"/>
      </patternFill>
    </fill>
    <fill>
      <patternFill patternType="solid">
        <fgColor rgb="FF2E8B57"/>
        <bgColor rgb="FF2E86AB"/>
      </patternFill>
    </fill>
    <fill>
      <patternFill patternType="solid">
        <fgColor rgb="FFE8743B"/>
        <bgColor rgb="FFFF8080"/>
      </patternFill>
    </fill>
    <fill>
      <patternFill patternType="solid">
        <fgColor rgb="FF6A4C93"/>
        <bgColor rgb="FF5F5E5A"/>
      </patternFill>
    </fill>
    <fill>
      <patternFill patternType="solid">
        <fgColor rgb="FFB0413E"/>
        <bgColor rgb="FF993366"/>
      </patternFill>
    </fill>
    <fill>
      <patternFill patternType="solid">
        <fgColor rgb="FF8C6A00"/>
        <bgColor rgb="FF5F5E5A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">
    <xf numFmtId="0" fontId="0" fillId="0" borderId="0"/>
    <xf numFmtId="0" fontId="17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6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/>
    <xf numFmtId="164" fontId="0" fillId="0" borderId="0" xfId="0" applyNumberFormat="1" applyAlignment="1">
      <alignment horizontal="right"/>
    </xf>
    <xf numFmtId="0" fontId="8" fillId="0" borderId="0" xfId="0" applyFont="1"/>
    <xf numFmtId="0" fontId="10" fillId="7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vertical="top" wrapText="1"/>
    </xf>
    <xf numFmtId="0" fontId="17" fillId="0" borderId="0" xfId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3" fillId="9" borderId="0" xfId="0" applyFont="1" applyFill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left" vertical="top" wrapText="1"/>
    </xf>
    <xf numFmtId="0" fontId="8" fillId="6" borderId="0" xfId="0" applyFont="1" applyFill="1" applyAlignment="1">
      <alignment horizontal="center"/>
    </xf>
    <xf numFmtId="0" fontId="9" fillId="6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center"/>
    </xf>
    <xf numFmtId="0" fontId="8" fillId="0" borderId="0" xfId="0" applyFont="1"/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165" fontId="14" fillId="14" borderId="0" xfId="0" applyNumberFormat="1" applyFont="1" applyFill="1" applyAlignment="1">
      <alignment horizontal="center" vertical="center"/>
    </xf>
    <xf numFmtId="166" fontId="14" fillId="14" borderId="0" xfId="0" applyNumberFormat="1" applyFont="1" applyFill="1" applyAlignment="1">
      <alignment horizontal="center" vertical="center"/>
    </xf>
    <xf numFmtId="164" fontId="14" fillId="14" borderId="0" xfId="0" applyNumberFormat="1" applyFont="1" applyFill="1" applyAlignment="1">
      <alignment horizontal="center" vertical="center"/>
    </xf>
    <xf numFmtId="2" fontId="14" fillId="14" borderId="0" xfId="0" applyNumberFormat="1" applyFont="1" applyFill="1" applyAlignment="1">
      <alignment horizontal="center" vertical="center"/>
    </xf>
    <xf numFmtId="1" fontId="14" fillId="14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0" borderId="0" xfId="0" applyFont="1" applyFill="1" applyAlignment="1"/>
    <xf numFmtId="0" fontId="9" fillId="0" borderId="0" xfId="0" applyFont="1" applyFill="1" applyAlignment="1">
      <alignment vertical="top" wrapText="1"/>
    </xf>
    <xf numFmtId="0" fontId="4" fillId="0" borderId="0" xfId="0" applyFont="1" applyFill="1"/>
    <xf numFmtId="170" fontId="14" fillId="1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F506D84E-9186-4C6E-9FD1-BA1EE5E5D3FC}"/>
  </cellStyles>
  <dxfs count="29">
    <dxf>
      <font>
        <b/>
        <sz val="9"/>
        <color rgb="FFFFFFFF"/>
        <name val="Arial"/>
        <charset val="1"/>
      </font>
      <fill>
        <patternFill>
          <bgColor rgb="FF1F2A44"/>
        </patternFill>
      </fill>
    </dxf>
    <dxf>
      <font>
        <b/>
        <sz val="9"/>
        <color rgb="FFFFFFFF"/>
        <name val="Arial"/>
        <charset val="1"/>
      </font>
      <fill>
        <patternFill>
          <bgColor rgb="FF1F2A44"/>
        </patternFill>
      </fill>
    </dxf>
    <dxf>
      <font>
        <b/>
        <sz val="9"/>
        <color rgb="FFFFFFFF"/>
        <name val="Arial"/>
        <charset val="1"/>
      </font>
      <fill>
        <patternFill>
          <bgColor rgb="FF1F2A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font>
        <b/>
        <i val="0"/>
        <color theme="0"/>
      </font>
      <fill>
        <patternFill>
          <bgColor rgb="FF0B2E59"/>
        </patternFill>
      </fill>
    </dxf>
  </dxfs>
  <tableStyles count="1" defaultTableStyle="TableStyleMedium2" defaultPivotStyle="PivotStyleLight16">
    <tableStyle name="Slicer Style 1" pivot="0" table="0" count="1" xr9:uid="{3D5A937C-D1A8-47BD-81FA-AC70AB2E718E}">
      <tableStyleElement type="wholeTable" dxfId="28"/>
    </tableStyle>
  </tableStyles>
  <colors>
    <mruColors>
      <color rgb="FF0B2E59"/>
      <color rgb="FF8C6A00"/>
      <color rgb="FFB0413E"/>
      <color rgb="FFF2F2F2"/>
      <color rgb="FF6A4C93"/>
      <color rgb="FFE8743B"/>
      <color rgb="FF2E8B57"/>
      <color rgb="FF2E86AB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Department Revenue &amp;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378AD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Logistics</c:v>
              </c:pt>
              <c:pt idx="1">
                <c:v>Sales</c:v>
              </c:pt>
              <c:pt idx="2">
                <c:v>Procurement</c:v>
              </c:pt>
              <c:pt idx="3">
                <c:v>Warehouse</c:v>
              </c:pt>
              <c:pt idx="4">
                <c:v>Customer Support</c:v>
              </c:pt>
            </c:strLit>
          </c:cat>
          <c:val>
            <c:numLit>
              <c:formatCode>General</c:formatCode>
              <c:ptCount val="5"/>
              <c:pt idx="0">
                <c:v>418087.00999999966</c:v>
              </c:pt>
              <c:pt idx="1">
                <c:v>408244.26</c:v>
              </c:pt>
              <c:pt idx="2">
                <c:v>405296.40000000026</c:v>
              </c:pt>
              <c:pt idx="3">
                <c:v>367468.14999999997</c:v>
              </c:pt>
              <c:pt idx="4">
                <c:v>347007.91999999987</c:v>
              </c:pt>
            </c:numLit>
          </c:val>
          <c:extLst>
            <c:ext xmlns:c16="http://schemas.microsoft.com/office/drawing/2014/chart" uri="{C3380CC4-5D6E-409C-BE32-E72D297353CC}">
              <c16:uniqueId val="{00000000-CCAF-4858-BE31-B43B8923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90889"/>
        <c:axId val="30362099"/>
      </c:barChart>
      <c:lineChart>
        <c:grouping val="standard"/>
        <c:varyColors val="0"/>
        <c:ser>
          <c:idx val="1"/>
          <c:order val="1"/>
          <c:tx>
            <c:v>Profit</c:v>
          </c:tx>
          <c:spPr>
            <a:ln w="21960">
              <a:solidFill>
                <a:srgbClr val="6FA86F"/>
              </a:solidFill>
              <a:round/>
            </a:ln>
          </c:spPr>
          <c:marker>
            <c:symbol val="circle"/>
            <c:size val="6"/>
            <c:spPr>
              <a:solidFill>
                <a:srgbClr val="6FA86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Logistics</c:v>
              </c:pt>
              <c:pt idx="1">
                <c:v>Sales</c:v>
              </c:pt>
              <c:pt idx="2">
                <c:v>Procurement</c:v>
              </c:pt>
              <c:pt idx="3">
                <c:v>Warehouse</c:v>
              </c:pt>
              <c:pt idx="4">
                <c:v>Customer Support</c:v>
              </c:pt>
            </c:strLit>
          </c:cat>
          <c:val>
            <c:numLit>
              <c:formatCode>General</c:formatCode>
              <c:ptCount val="5"/>
              <c:pt idx="0">
                <c:v>76756.839999999967</c:v>
              </c:pt>
              <c:pt idx="1">
                <c:v>135275.67999999996</c:v>
              </c:pt>
              <c:pt idx="2">
                <c:v>134020.66000000003</c:v>
              </c:pt>
              <c:pt idx="3">
                <c:v>117500.76000000005</c:v>
              </c:pt>
              <c:pt idx="4">
                <c:v>115415.63000000002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CAF-4858-BE31-B43B8923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7941628"/>
        <c:axId val="64640155"/>
      </c:lineChart>
      <c:catAx>
        <c:axId val="40990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62099"/>
        <c:crosses val="autoZero"/>
        <c:auto val="1"/>
        <c:lblAlgn val="ctr"/>
        <c:lblOffset val="100"/>
        <c:noMultiLvlLbl val="0"/>
      </c:catAx>
      <c:valAx>
        <c:axId val="303620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Sales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90889"/>
        <c:crosses val="autoZero"/>
        <c:crossBetween val="between"/>
      </c:valAx>
      <c:catAx>
        <c:axId val="67941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40155"/>
        <c:crosses val="autoZero"/>
        <c:auto val="1"/>
        <c:lblAlgn val="ctr"/>
        <c:lblOffset val="100"/>
        <c:noMultiLvlLbl val="0"/>
      </c:catAx>
      <c:valAx>
        <c:axId val="6464015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Profit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9416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378AD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143645.44</c:v>
              </c:pt>
              <c:pt idx="1">
                <c:v>142891.53999999995</c:v>
              </c:pt>
              <c:pt idx="2">
                <c:v>162076.11999999991</c:v>
              </c:pt>
              <c:pt idx="3">
                <c:v>167186.68999999997</c:v>
              </c:pt>
              <c:pt idx="4">
                <c:v>147977.90999999992</c:v>
              </c:pt>
              <c:pt idx="5">
                <c:v>145198.34</c:v>
              </c:pt>
              <c:pt idx="6">
                <c:v>195650.48</c:v>
              </c:pt>
              <c:pt idx="7">
                <c:v>166276.47000000006</c:v>
              </c:pt>
              <c:pt idx="8">
                <c:v>192480.63999999998</c:v>
              </c:pt>
              <c:pt idx="9">
                <c:v>177158.37000000008</c:v>
              </c:pt>
              <c:pt idx="10">
                <c:v>161142.65</c:v>
              </c:pt>
              <c:pt idx="11">
                <c:v>144419.09</c:v>
              </c:pt>
            </c:numLit>
          </c:val>
          <c:extLst>
            <c:ext xmlns:c16="http://schemas.microsoft.com/office/drawing/2014/chart" uri="{C3380CC4-5D6E-409C-BE32-E72D297353CC}">
              <c16:uniqueId val="{00000000-182C-412D-A8D3-3FF8E4F73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80767"/>
        <c:axId val="48849587"/>
      </c:barChart>
      <c:lineChart>
        <c:grouping val="standard"/>
        <c:varyColors val="0"/>
        <c:ser>
          <c:idx val="1"/>
          <c:order val="1"/>
          <c:tx>
            <c:v>Profit</c:v>
          </c:tx>
          <c:spPr>
            <a:ln w="21960">
              <a:solidFill>
                <a:srgbClr val="6FA86F"/>
              </a:solidFill>
              <a:round/>
            </a:ln>
          </c:spPr>
          <c:marker>
            <c:symbol val="circle"/>
            <c:size val="6"/>
            <c:spPr>
              <a:solidFill>
                <a:srgbClr val="6FA86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43141.470000000008</c:v>
              </c:pt>
              <c:pt idx="1">
                <c:v>44600.659999999989</c:v>
              </c:pt>
              <c:pt idx="2">
                <c:v>50187.880000000005</c:v>
              </c:pt>
              <c:pt idx="3">
                <c:v>48434.31</c:v>
              </c:pt>
              <c:pt idx="4">
                <c:v>44604.240000000013</c:v>
              </c:pt>
              <c:pt idx="5">
                <c:v>44035.139999999985</c:v>
              </c:pt>
              <c:pt idx="6">
                <c:v>58162.119999999995</c:v>
              </c:pt>
              <c:pt idx="7">
                <c:v>45800.88</c:v>
              </c:pt>
              <c:pt idx="8">
                <c:v>56001.850000000013</c:v>
              </c:pt>
              <c:pt idx="9">
                <c:v>53026.159999999974</c:v>
              </c:pt>
              <c:pt idx="10">
                <c:v>48987.74</c:v>
              </c:pt>
              <c:pt idx="11">
                <c:v>41987.12000000001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82C-412D-A8D3-3FF8E4F73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75609"/>
        <c:axId val="50243800"/>
      </c:lineChart>
      <c:catAx>
        <c:axId val="3348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49587"/>
        <c:crosses val="autoZero"/>
        <c:auto val="1"/>
        <c:lblAlgn val="ctr"/>
        <c:lblOffset val="100"/>
        <c:noMultiLvlLbl val="0"/>
      </c:catAx>
      <c:valAx>
        <c:axId val="48849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Sales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480767"/>
        <c:crosses val="autoZero"/>
        <c:crossBetween val="between"/>
      </c:valAx>
      <c:catAx>
        <c:axId val="8475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43800"/>
        <c:crosses val="autoZero"/>
        <c:auto val="1"/>
        <c:lblAlgn val="ctr"/>
        <c:lblOffset val="100"/>
        <c:noMultiLvlLbl val="0"/>
      </c:catAx>
      <c:valAx>
        <c:axId val="5024380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Profit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7560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Regional Profit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6FA86F"/>
            </a:solidFill>
            <a:ln w="0">
              <a:noFill/>
            </a:ln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7"/>
              <c:pt idx="0">
                <c:v>Sarawak</c:v>
              </c:pt>
              <c:pt idx="1">
                <c:v>Kuala Lumpur</c:v>
              </c:pt>
              <c:pt idx="2">
                <c:v>Johor</c:v>
              </c:pt>
              <c:pt idx="3">
                <c:v>Sabah</c:v>
              </c:pt>
              <c:pt idx="4">
                <c:v>Selangor</c:v>
              </c:pt>
              <c:pt idx="5">
                <c:v>Penang</c:v>
              </c:pt>
              <c:pt idx="6">
                <c:v>Unknown Region</c:v>
              </c:pt>
            </c:strLit>
          </c:cat>
          <c:val>
            <c:numLit>
              <c:formatCode>General</c:formatCode>
              <c:ptCount val="7"/>
              <c:pt idx="0">
                <c:v>105621.77</c:v>
              </c:pt>
              <c:pt idx="1">
                <c:v>99360.71000000005</c:v>
              </c:pt>
              <c:pt idx="2">
                <c:v>98221.1</c:v>
              </c:pt>
              <c:pt idx="3">
                <c:v>95897.39999999998</c:v>
              </c:pt>
              <c:pt idx="4">
                <c:v>92536.209999999977</c:v>
              </c:pt>
              <c:pt idx="5">
                <c:v>81543.780000000028</c:v>
              </c:pt>
              <c:pt idx="6">
                <c:v>5788.5999999999985</c:v>
              </c:pt>
            </c:numLit>
          </c:val>
          <c:extLst>
            <c:ext xmlns:c16="http://schemas.microsoft.com/office/drawing/2014/chart" uri="{C3380CC4-5D6E-409C-BE32-E72D297353CC}">
              <c16:uniqueId val="{00000000-C9AA-4A2C-ADB6-E4FA5873D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65189"/>
        <c:axId val="49940630"/>
      </c:barChart>
      <c:catAx>
        <c:axId val="687651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Profit (RM)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940630"/>
        <c:crosses val="autoZero"/>
        <c:auto val="1"/>
        <c:lblAlgn val="ctr"/>
        <c:lblOffset val="100"/>
        <c:noMultiLvlLbl val="0"/>
      </c:catAx>
      <c:valAx>
        <c:axId val="499406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651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Complaints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Complaints</c:v>
          </c:tx>
          <c:spPr>
            <a:solidFill>
              <a:srgbClr val="B0413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5"/>
              <c:pt idx="0">
                <c:v>Logistics</c:v>
              </c:pt>
              <c:pt idx="1">
                <c:v>Warehouse</c:v>
              </c:pt>
              <c:pt idx="2">
                <c:v>Procurement</c:v>
              </c:pt>
              <c:pt idx="3">
                <c:v>Sales</c:v>
              </c:pt>
              <c:pt idx="4">
                <c:v>Customer Support</c:v>
              </c:pt>
            </c:strLit>
          </c:cat>
          <c:val>
            <c:numLit>
              <c:formatCode>General</c:formatCode>
              <c:ptCount val="5"/>
              <c:pt idx="0">
                <c:v>81</c:v>
              </c:pt>
              <c:pt idx="1">
                <c:v>43</c:v>
              </c:pt>
              <c:pt idx="2">
                <c:v>42</c:v>
              </c:pt>
              <c:pt idx="3">
                <c:v>40</c:v>
              </c:pt>
              <c:pt idx="4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0-F6E4-4F81-8446-E0594A3E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24653"/>
        <c:axId val="18803210"/>
      </c:barChart>
      <c:catAx>
        <c:axId val="65024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03210"/>
        <c:crosses val="autoZero"/>
        <c:auto val="1"/>
        <c:lblAlgn val="ctr"/>
        <c:lblOffset val="100"/>
        <c:noMultiLvlLbl val="0"/>
      </c:catAx>
      <c:valAx>
        <c:axId val="18803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Complaints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246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84667</xdr:colOff>
      <xdr:row>15</xdr:row>
      <xdr:rowOff>75259</xdr:rowOff>
    </xdr:from>
    <xdr:to>
      <xdr:col>9</xdr:col>
      <xdr:colOff>439992</xdr:colOff>
      <xdr:row>33</xdr:row>
      <xdr:rowOff>4531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2CB39C-4BFC-4F50-BFBE-8FDB54553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79372</xdr:colOff>
      <xdr:row>33</xdr:row>
      <xdr:rowOff>103482</xdr:rowOff>
    </xdr:from>
    <xdr:to>
      <xdr:col>9</xdr:col>
      <xdr:colOff>436166</xdr:colOff>
      <xdr:row>51</xdr:row>
      <xdr:rowOff>457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51EB14-87EA-4EA6-8EF9-74C2BA322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137876</xdr:colOff>
      <xdr:row>14</xdr:row>
      <xdr:rowOff>75260</xdr:rowOff>
    </xdr:from>
    <xdr:to>
      <xdr:col>25</xdr:col>
      <xdr:colOff>17767</xdr:colOff>
      <xdr:row>32</xdr:row>
      <xdr:rowOff>4532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455A1BE-D4E5-4CAD-8744-9AC4D90D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140811</xdr:colOff>
      <xdr:row>32</xdr:row>
      <xdr:rowOff>122296</xdr:rowOff>
    </xdr:from>
    <xdr:to>
      <xdr:col>25</xdr:col>
      <xdr:colOff>20702</xdr:colOff>
      <xdr:row>50</xdr:row>
      <xdr:rowOff>19270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4F0603-A402-4E29-9800-A943C7457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d Aiman" refreshedDate="46192.900161226855" createdVersion="8" refreshedVersion="8" minRefreshableVersion="3" recordCount="1000" xr:uid="{E2ED4A72-B099-44D5-9D83-39ED16F7DDEF}">
  <cacheSource type="worksheet">
    <worksheetSource name="Table1_1"/>
  </cacheSource>
  <cacheFields count="15">
    <cacheField name="Transaction_ID" numFmtId="0">
      <sharedItems/>
    </cacheField>
    <cacheField name="Date" numFmtId="14">
      <sharedItems containsSemiMixedTypes="0" containsNonDate="0" containsDate="1" containsString="0" minDate="2024-01-01T00:00:00" maxDate="2025-01-01T00:00:00"/>
    </cacheField>
    <cacheField name="Department" numFmtId="0">
      <sharedItems count="5">
        <s v="Warehouse"/>
        <s v="Procurement"/>
        <s v="Logistics"/>
        <s v="Sales"/>
        <s v="Customer Support"/>
      </sharedItems>
    </cacheField>
    <cacheField name="Employee_Name" numFmtId="0">
      <sharedItems/>
    </cacheField>
    <cacheField name="Region" numFmtId="0">
      <sharedItems count="15">
        <s v="Kuala Lumpur"/>
        <s v="Sarawak"/>
        <s v="Sabah"/>
        <s v="Johor"/>
        <s v="Penang"/>
        <s v="Selangor"/>
        <s v="Unknown Region"/>
        <s v="Uknown Region" u="1"/>
        <s v="Uknown" u="1"/>
        <s v="Pinang" u="1"/>
        <s v="KL" u="1"/>
        <s v="Selngor" u="1"/>
        <s v="Sarawak " u="1"/>
        <s v="Sabah " u="1"/>
        <s v="Johor " u="1"/>
      </sharedItems>
    </cacheField>
    <cacheField name="Product_Category" numFmtId="0">
      <sharedItems/>
    </cacheField>
    <cacheField name="Sales" numFmtId="0">
      <sharedItems containsSemiMixedTypes="0" containsString="0" containsNumber="1" minValue="152.41" maxValue="5395.43"/>
    </cacheField>
    <cacheField name="Cost" numFmtId="0">
      <sharedItems containsSemiMixedTypes="0" containsString="0" containsNumber="1" minValue="89.62" maxValue="4499.1099999999997"/>
    </cacheField>
    <cacheField name="Profit" numFmtId="0">
      <sharedItems containsSemiMixedTypes="0" containsString="0" containsNumber="1" minValue="19.329999999999998" maxValue="1965.5"/>
    </cacheField>
    <cacheField name="Resolution_Days" numFmtId="0">
      <sharedItems containsString="0" containsBlank="1" containsNumber="1" containsInteger="1" minValue="1" maxValue="14"/>
    </cacheField>
    <cacheField name="Customer_Rating" numFmtId="0">
      <sharedItems containsString="0" containsBlank="1" containsNumber="1" containsInteger="1" minValue="1" maxValue="5"/>
    </cacheField>
    <cacheField name="Target_Status" numFmtId="0">
      <sharedItems/>
    </cacheField>
    <cacheField name="Month Name" numFmtId="0">
      <sharedItems count="12">
        <s v="April"/>
        <s v="January"/>
        <s v="August"/>
        <s v="July"/>
        <s v="June"/>
        <s v="October"/>
        <s v="March"/>
        <s v="May"/>
        <s v="November"/>
        <s v="September"/>
        <s v="February"/>
        <s v="December"/>
      </sharedItems>
    </cacheField>
    <cacheField name="Quarter" numFmtId="0">
      <sharedItems containsSemiMixedTypes="0" containsString="0" containsNumber="1" containsInteger="1" minValue="1" maxValue="4"/>
    </cacheField>
    <cacheField name="Customer_Complaint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9935023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XN-10972"/>
    <d v="2024-04-09T00:00:00"/>
    <x v="0"/>
    <s v="Maya Devi"/>
    <x v="0"/>
    <s v="Automotive Parts"/>
    <n v="1979.71"/>
    <n v="1535.03"/>
    <n v="444.68"/>
    <m/>
    <n v="3"/>
    <s v="Met"/>
    <x v="0"/>
    <n v="2"/>
    <x v="0"/>
  </r>
  <r>
    <s v="TXN-10636"/>
    <d v="2024-01-10T00:00:00"/>
    <x v="0"/>
    <s v="Karthik Selvam"/>
    <x v="1"/>
    <s v="Apparel"/>
    <n v="2000.86"/>
    <n v="1126.55"/>
    <n v="874.31"/>
    <m/>
    <n v="4"/>
    <s v="Missed"/>
    <x v="1"/>
    <n v="1"/>
    <x v="0"/>
  </r>
  <r>
    <s v="TXN-10091"/>
    <d v="2024-08-28T00:00:00"/>
    <x v="1"/>
    <s v="Eddy Chong"/>
    <x v="2"/>
    <s v="Electronics"/>
    <n v="409.86"/>
    <n v="263.67"/>
    <n v="146.19"/>
    <m/>
    <m/>
    <s v="Met"/>
    <x v="2"/>
    <n v="3"/>
    <x v="0"/>
  </r>
  <r>
    <s v="TXN-10151"/>
    <d v="2024-04-28T00:00:00"/>
    <x v="1"/>
    <s v="Lee Jia Hui"/>
    <x v="3"/>
    <s v="Automotive Parts"/>
    <n v="2822.48"/>
    <n v="1996.74"/>
    <n v="825.74"/>
    <m/>
    <n v="2"/>
    <s v="Met"/>
    <x v="0"/>
    <n v="2"/>
    <x v="0"/>
  </r>
  <r>
    <s v="TXN-10981"/>
    <d v="2024-04-28T00:00:00"/>
    <x v="2"/>
    <s v="Jasmine Wong"/>
    <x v="2"/>
    <s v="Groceries"/>
    <n v="393.71"/>
    <n v="296.07"/>
    <n v="97.64"/>
    <m/>
    <n v="2"/>
    <s v="Missed"/>
    <x v="0"/>
    <n v="2"/>
    <x v="0"/>
  </r>
  <r>
    <s v="TXN-10800"/>
    <d v="2024-04-08T00:00:00"/>
    <x v="2"/>
    <s v="Hafiz Idris"/>
    <x v="4"/>
    <s v="Automotive Parts"/>
    <n v="1869.97"/>
    <n v="1712.98"/>
    <n v="156.99"/>
    <m/>
    <n v="2"/>
    <s v="Missed"/>
    <x v="0"/>
    <n v="2"/>
    <x v="0"/>
  </r>
  <r>
    <s v="TXN-10784"/>
    <d v="2024-04-24T00:00:00"/>
    <x v="0"/>
    <s v="Roslan Ahmad"/>
    <x v="0"/>
    <s v="Groceries"/>
    <n v="386.26"/>
    <n v="223.49"/>
    <n v="162.77000000000001"/>
    <m/>
    <n v="3"/>
    <s v="Met"/>
    <x v="0"/>
    <n v="2"/>
    <x v="0"/>
  </r>
  <r>
    <s v="TXN-10577"/>
    <d v="2024-07-22T00:00:00"/>
    <x v="3"/>
    <s v="Raj Kumar"/>
    <x v="0"/>
    <s v="Apparel"/>
    <n v="2723.53"/>
    <n v="1633.76"/>
    <n v="1089.77"/>
    <n v="8"/>
    <n v="2"/>
    <s v="Met"/>
    <x v="3"/>
    <n v="3"/>
    <x v="1"/>
  </r>
  <r>
    <s v="TXN-10540"/>
    <d v="2024-07-10T00:00:00"/>
    <x v="4"/>
    <s v="Goh Wen Xin"/>
    <x v="0"/>
    <s v="Groceries"/>
    <n v="1152.5999999999999"/>
    <n v="757.36"/>
    <n v="395.24"/>
    <m/>
    <n v="5"/>
    <s v="Met"/>
    <x v="3"/>
    <n v="3"/>
    <x v="0"/>
  </r>
  <r>
    <s v="TXN-10688"/>
    <d v="2024-06-06T00:00:00"/>
    <x v="3"/>
    <s v="Kevin Lim"/>
    <x v="1"/>
    <s v="Automotive Parts"/>
    <n v="2954.98"/>
    <n v="2099.75"/>
    <n v="855.23"/>
    <m/>
    <n v="4"/>
    <s v="Met"/>
    <x v="4"/>
    <n v="2"/>
    <x v="0"/>
  </r>
  <r>
    <s v="TXN-10152"/>
    <d v="2024-10-01T00:00:00"/>
    <x v="3"/>
    <s v="Nur Aina"/>
    <x v="2"/>
    <s v="Electronics"/>
    <n v="1058.97"/>
    <n v="703.57"/>
    <n v="355.4"/>
    <m/>
    <n v="5"/>
    <s v="Met"/>
    <x v="5"/>
    <n v="4"/>
    <x v="0"/>
  </r>
  <r>
    <s v="TXN-10276"/>
    <d v="2024-08-08T00:00:00"/>
    <x v="0"/>
    <s v="Hock Seng"/>
    <x v="3"/>
    <s v="Furniture"/>
    <n v="2823.18"/>
    <n v="1974.11"/>
    <n v="849.07"/>
    <m/>
    <n v="5"/>
    <s v="Met"/>
    <x v="2"/>
    <n v="3"/>
    <x v="0"/>
  </r>
  <r>
    <s v="TXN-10878"/>
    <d v="2024-03-19T00:00:00"/>
    <x v="2"/>
    <s v="Priya Devi"/>
    <x v="0"/>
    <s v="Groceries"/>
    <n v="3252.27"/>
    <n v="2775.57"/>
    <n v="476.7"/>
    <m/>
    <n v="4"/>
    <s v="Missed"/>
    <x v="6"/>
    <n v="1"/>
    <x v="0"/>
  </r>
  <r>
    <s v="TXN-10576"/>
    <d v="2024-01-05T00:00:00"/>
    <x v="2"/>
    <s v="Chong Kah Wei"/>
    <x v="1"/>
    <s v="Apparel"/>
    <n v="667.78"/>
    <n v="482.92"/>
    <n v="184.86"/>
    <n v="5"/>
    <n v="2"/>
    <s v="Met"/>
    <x v="1"/>
    <n v="1"/>
    <x v="1"/>
  </r>
  <r>
    <s v="TXN-10541"/>
    <d v="2024-07-21T00:00:00"/>
    <x v="2"/>
    <s v="Sarah Lee"/>
    <x v="4"/>
    <s v="Electronics"/>
    <n v="2131.58"/>
    <n v="1506.93"/>
    <n v="624.65"/>
    <m/>
    <n v="5"/>
    <s v="Missed"/>
    <x v="3"/>
    <n v="3"/>
    <x v="0"/>
  </r>
  <r>
    <s v="TXN-10840"/>
    <d v="2024-10-05T00:00:00"/>
    <x v="0"/>
    <s v="Maya Devi"/>
    <x v="5"/>
    <s v="Groceries"/>
    <n v="458.36"/>
    <n v="280.22000000000003"/>
    <n v="178.14"/>
    <m/>
    <n v="4"/>
    <s v="Met"/>
    <x v="5"/>
    <n v="4"/>
    <x v="0"/>
  </r>
  <r>
    <s v="TXN-10704"/>
    <d v="2024-04-08T00:00:00"/>
    <x v="3"/>
    <s v="Kevin Lim"/>
    <x v="3"/>
    <s v="Automotive Parts"/>
    <n v="2062.5"/>
    <n v="1647.38"/>
    <n v="415.12"/>
    <m/>
    <n v="4"/>
    <s v="Met"/>
    <x v="0"/>
    <n v="2"/>
    <x v="0"/>
  </r>
  <r>
    <s v="TXN-10851"/>
    <d v="2024-10-20T00:00:00"/>
    <x v="1"/>
    <s v="Nurul Huda"/>
    <x v="2"/>
    <s v="Groceries"/>
    <n v="609.85"/>
    <n v="386.81"/>
    <n v="223.04"/>
    <m/>
    <n v="5"/>
    <s v="Missed"/>
    <x v="5"/>
    <n v="4"/>
    <x v="0"/>
  </r>
  <r>
    <s v="TXN-10282"/>
    <d v="2024-07-21T00:00:00"/>
    <x v="2"/>
    <s v="Hafiz Idris"/>
    <x v="4"/>
    <s v="Groceries"/>
    <n v="2793.63"/>
    <n v="1961.03"/>
    <n v="832.6"/>
    <m/>
    <n v="5"/>
    <s v="Missed"/>
    <x v="3"/>
    <n v="3"/>
    <x v="0"/>
  </r>
  <r>
    <s v="TXN-10302"/>
    <d v="2024-01-10T00:00:00"/>
    <x v="0"/>
    <s v="Izzat Fikri"/>
    <x v="3"/>
    <s v="Apparrel"/>
    <n v="1311.71"/>
    <n v="836.84"/>
    <n v="474.87"/>
    <m/>
    <n v="4"/>
    <s v="Met"/>
    <x v="1"/>
    <n v="1"/>
    <x v="0"/>
  </r>
  <r>
    <s v="TXN-10249"/>
    <d v="2024-06-29T00:00:00"/>
    <x v="0"/>
    <s v="Noraini Yaakob"/>
    <x v="0"/>
    <s v="Groceries"/>
    <n v="2887.74"/>
    <n v="1837.35"/>
    <n v="1050.3900000000001"/>
    <m/>
    <n v="4"/>
    <s v="Met"/>
    <x v="4"/>
    <n v="2"/>
    <x v="1"/>
  </r>
  <r>
    <s v="TXN-10237"/>
    <d v="2024-05-31T00:00:00"/>
    <x v="1"/>
    <s v="Farhana Ismail"/>
    <x v="3"/>
    <s v="Groceries"/>
    <n v="3159.24"/>
    <n v="1889.63"/>
    <n v="1269.6099999999999"/>
    <m/>
    <n v="5"/>
    <s v="Met"/>
    <x v="7"/>
    <n v="2"/>
    <x v="0"/>
  </r>
  <r>
    <s v="TXN-10075"/>
    <d v="2024-05-10T00:00:00"/>
    <x v="4"/>
    <s v="Faisal Rashid"/>
    <x v="0"/>
    <s v="Apparel"/>
    <n v="1119.6500000000001"/>
    <n v="649.39"/>
    <n v="470.26"/>
    <m/>
    <n v="4"/>
    <s v="Met"/>
    <x v="7"/>
    <n v="2"/>
    <x v="0"/>
  </r>
  <r>
    <s v="TXN-10526"/>
    <d v="2024-11-29T00:00:00"/>
    <x v="1"/>
    <s v="Farhana Ismail"/>
    <x v="2"/>
    <s v="Apparel"/>
    <n v="565.70000000000005"/>
    <n v="417.63"/>
    <n v="148.07"/>
    <n v="4"/>
    <n v="3"/>
    <s v="Met"/>
    <x v="8"/>
    <n v="4"/>
    <x v="1"/>
  </r>
  <r>
    <s v="TXN-10386"/>
    <d v="2024-04-08T00:00:00"/>
    <x v="3"/>
    <s v="Uknown"/>
    <x v="2"/>
    <s v="Electronics"/>
    <n v="3380.28"/>
    <n v="2004.31"/>
    <n v="1375.97"/>
    <m/>
    <n v="3"/>
    <s v="Met"/>
    <x v="0"/>
    <n v="2"/>
    <x v="0"/>
  </r>
  <r>
    <s v="TXN-10727"/>
    <d v="2024-09-28T00:00:00"/>
    <x v="4"/>
    <s v="Suresh Pillai"/>
    <x v="2"/>
    <s v="Furniture"/>
    <n v="1730.78"/>
    <n v="1248.22"/>
    <n v="482.56"/>
    <m/>
    <n v="3"/>
    <s v="Met"/>
    <x v="9"/>
    <n v="3"/>
    <x v="0"/>
  </r>
  <r>
    <s v="TXN-10537"/>
    <d v="2024-11-06T00:00:00"/>
    <x v="1"/>
    <s v="Vikram Singh"/>
    <x v="1"/>
    <s v="Groceries"/>
    <n v="1652.98"/>
    <n v="978.78"/>
    <n v="674.2"/>
    <n v="3"/>
    <n v="3"/>
    <s v="Met"/>
    <x v="8"/>
    <n v="4"/>
    <x v="1"/>
  </r>
  <r>
    <s v="TXN-10938"/>
    <d v="2024-07-31T00:00:00"/>
    <x v="1"/>
    <s v="Vikram Singh"/>
    <x v="5"/>
    <s v="Automotive Parts"/>
    <n v="3220.85"/>
    <n v="2481.89"/>
    <n v="738.96"/>
    <m/>
    <n v="4"/>
    <s v="Met"/>
    <x v="3"/>
    <n v="3"/>
    <x v="0"/>
  </r>
  <r>
    <s v="TXN-10821"/>
    <d v="2024-02-15T00:00:00"/>
    <x v="0"/>
    <s v="Maya Devi"/>
    <x v="1"/>
    <s v="Electronics"/>
    <n v="2878.12"/>
    <n v="1905.67"/>
    <n v="972.45"/>
    <m/>
    <n v="4"/>
    <s v="Missed"/>
    <x v="10"/>
    <n v="1"/>
    <x v="0"/>
  </r>
  <r>
    <s v="TXN-10703"/>
    <d v="2024-01-20T00:00:00"/>
    <x v="3"/>
    <s v="Daniel Tan"/>
    <x v="5"/>
    <s v="Furniture"/>
    <n v="641.61"/>
    <n v="509.57"/>
    <n v="132.04"/>
    <m/>
    <n v="3"/>
    <s v="Met"/>
    <x v="1"/>
    <n v="1"/>
    <x v="0"/>
  </r>
  <r>
    <s v="TXN-10439"/>
    <d v="2024-07-24T00:00:00"/>
    <x v="3"/>
    <s v="Aisha Rahman"/>
    <x v="5"/>
    <s v="Furniture"/>
    <n v="3439.52"/>
    <n v="2033.04"/>
    <n v="1406.48"/>
    <m/>
    <n v="5"/>
    <s v="Missed"/>
    <x v="3"/>
    <n v="3"/>
    <x v="1"/>
  </r>
  <r>
    <s v="TXN-10124"/>
    <d v="2024-07-28T00:00:00"/>
    <x v="3"/>
    <s v="Siti Noraini"/>
    <x v="3"/>
    <s v="Electronics"/>
    <n v="976.86"/>
    <n v="693.94"/>
    <n v="282.92"/>
    <m/>
    <n v="4"/>
    <s v="Met"/>
    <x v="3"/>
    <n v="3"/>
    <x v="0"/>
  </r>
  <r>
    <s v="TXN-10349"/>
    <d v="2024-07-02T00:00:00"/>
    <x v="1"/>
    <s v="Eddy Chong"/>
    <x v="2"/>
    <s v="Automotive Parts"/>
    <n v="1267.02"/>
    <n v="792.78"/>
    <n v="474.24"/>
    <m/>
    <n v="3"/>
    <s v="Met"/>
    <x v="3"/>
    <n v="3"/>
    <x v="0"/>
  </r>
  <r>
    <s v="TXN-10721"/>
    <d v="2024-09-25T00:00:00"/>
    <x v="3"/>
    <s v="Raj Kumar"/>
    <x v="1"/>
    <s v="Apparel"/>
    <n v="3158.75"/>
    <n v="2322.77"/>
    <n v="835.98"/>
    <m/>
    <n v="3"/>
    <s v="Met"/>
    <x v="9"/>
    <n v="3"/>
    <x v="0"/>
  </r>
  <r>
    <s v="TXN-10158"/>
    <d v="2024-05-23T00:00:00"/>
    <x v="3"/>
    <s v="Nur Aina"/>
    <x v="2"/>
    <s v="Furniture"/>
    <n v="2149.4699999999998"/>
    <n v="1272.69"/>
    <n v="876.78"/>
    <n v="4"/>
    <n v="5"/>
    <s v="Met"/>
    <x v="7"/>
    <n v="2"/>
    <x v="1"/>
  </r>
  <r>
    <s v="TXN-10501"/>
    <d v="2024-03-20T00:00:00"/>
    <x v="1"/>
    <s v="Eddy Chong"/>
    <x v="1"/>
    <s v="Furniture"/>
    <n v="2895.67"/>
    <n v="2167.09"/>
    <n v="728.58"/>
    <m/>
    <n v="3"/>
    <s v="Met"/>
    <x v="6"/>
    <n v="1"/>
    <x v="0"/>
  </r>
  <r>
    <s v="TXN-10100"/>
    <d v="2024-10-21T00:00:00"/>
    <x v="1"/>
    <s v="Farhana Ismail"/>
    <x v="3"/>
    <s v="Apparel"/>
    <n v="397.06"/>
    <n v="314.91000000000003"/>
    <n v="82.15"/>
    <m/>
    <n v="4"/>
    <s v="Met"/>
    <x v="5"/>
    <n v="4"/>
    <x v="0"/>
  </r>
  <r>
    <s v="TXN-10359"/>
    <d v="2024-05-01T00:00:00"/>
    <x v="3"/>
    <s v="Siti Noraini"/>
    <x v="4"/>
    <s v="Electronics"/>
    <n v="2621.46"/>
    <n v="2011.9"/>
    <n v="609.55999999999995"/>
    <m/>
    <n v="4"/>
    <s v="Missed"/>
    <x v="7"/>
    <n v="2"/>
    <x v="0"/>
  </r>
  <r>
    <s v="TXN-10060"/>
    <d v="2024-07-31T00:00:00"/>
    <x v="3"/>
    <s v="Raj Kumar"/>
    <x v="4"/>
    <s v="Furniture"/>
    <n v="738.39"/>
    <n v="430.51"/>
    <n v="307.88"/>
    <m/>
    <n v="5"/>
    <s v="Met"/>
    <x v="3"/>
    <n v="3"/>
    <x v="0"/>
  </r>
  <r>
    <s v="TXN-10664"/>
    <d v="2024-03-06T00:00:00"/>
    <x v="4"/>
    <s v="Faisal Rashid"/>
    <x v="1"/>
    <s v="Furniture"/>
    <n v="2741.83"/>
    <n v="1839.59"/>
    <n v="902.24"/>
    <m/>
    <n v="2"/>
    <s v="Met"/>
    <x v="6"/>
    <n v="1"/>
    <x v="0"/>
  </r>
  <r>
    <s v="TXN-10428"/>
    <d v="2024-03-10T00:00:00"/>
    <x v="0"/>
    <s v="Hock Seng"/>
    <x v="4"/>
    <s v="Electronics"/>
    <n v="196.48"/>
    <n v="113.56"/>
    <n v="82.92"/>
    <m/>
    <n v="2"/>
    <s v="Met"/>
    <x v="6"/>
    <n v="1"/>
    <x v="0"/>
  </r>
  <r>
    <s v="TXN-10869"/>
    <d v="2024-07-07T00:00:00"/>
    <x v="3"/>
    <s v="Siti Noraini"/>
    <x v="0"/>
    <s v="Electronics"/>
    <n v="3833.27"/>
    <n v="2974.78"/>
    <n v="858.49"/>
    <m/>
    <n v="4"/>
    <s v="Met"/>
    <x v="3"/>
    <n v="3"/>
    <x v="0"/>
  </r>
  <r>
    <s v="TXN-10580"/>
    <d v="2024-10-01T00:00:00"/>
    <x v="4"/>
    <s v="Chen Mei Ling"/>
    <x v="3"/>
    <s v="Groceries"/>
    <n v="2457.58"/>
    <n v="1450.4"/>
    <n v="1007.18"/>
    <m/>
    <n v="4"/>
    <s v="Missed"/>
    <x v="5"/>
    <n v="4"/>
    <x v="0"/>
  </r>
  <r>
    <s v="TXN-10364"/>
    <d v="2024-07-08T00:00:00"/>
    <x v="0"/>
    <s v="Hock Seng"/>
    <x v="0"/>
    <s v="Apparel"/>
    <n v="2249.8200000000002"/>
    <n v="1633.31"/>
    <n v="616.51"/>
    <m/>
    <n v="5"/>
    <s v="Met"/>
    <x v="3"/>
    <n v="3"/>
    <x v="0"/>
  </r>
  <r>
    <s v="TXN-10533"/>
    <d v="2024-07-25T00:00:00"/>
    <x v="1"/>
    <s v="Eddy Chong"/>
    <x v="2"/>
    <s v="Groceries"/>
    <n v="1747.49"/>
    <n v="1016.85"/>
    <n v="730.64"/>
    <m/>
    <n v="5"/>
    <s v="Missed"/>
    <x v="3"/>
    <n v="3"/>
    <x v="0"/>
  </r>
  <r>
    <s v="TXN-10213"/>
    <d v="2024-07-25T00:00:00"/>
    <x v="2"/>
    <s v="Muthu Kannan"/>
    <x v="0"/>
    <s v="Automotive Parts"/>
    <n v="214.07"/>
    <n v="160.41"/>
    <n v="53.66"/>
    <n v="5"/>
    <n v="2"/>
    <s v="Met"/>
    <x v="3"/>
    <n v="3"/>
    <x v="0"/>
  </r>
  <r>
    <s v="TXN-10511"/>
    <d v="2024-01-02T00:00:00"/>
    <x v="4"/>
    <s v="Goh Wen Xin"/>
    <x v="4"/>
    <s v="Apparel"/>
    <n v="1680.68"/>
    <n v="1217.78"/>
    <n v="462.9"/>
    <n v="5"/>
    <n v="5"/>
    <s v="Met"/>
    <x v="1"/>
    <n v="1"/>
    <x v="1"/>
  </r>
  <r>
    <s v="TXN-10910"/>
    <d v="2024-10-09T00:00:00"/>
    <x v="0"/>
    <s v="Maya Devi"/>
    <x v="0"/>
    <s v="Automotive Parts"/>
    <n v="1857.49"/>
    <n v="1455.33"/>
    <n v="402.16"/>
    <m/>
    <n v="4"/>
    <s v="Missed"/>
    <x v="5"/>
    <n v="4"/>
    <x v="0"/>
  </r>
  <r>
    <s v="TXN-10994"/>
    <d v="2024-06-03T00:00:00"/>
    <x v="3"/>
    <s v="Raj Kumar"/>
    <x v="0"/>
    <s v="Electronics"/>
    <n v="1304.77"/>
    <n v="744.37"/>
    <n v="560.4"/>
    <n v="3"/>
    <n v="5"/>
    <s v="Met"/>
    <x v="4"/>
    <n v="2"/>
    <x v="1"/>
  </r>
  <r>
    <s v="TXN-10051"/>
    <d v="2024-09-04T00:00:00"/>
    <x v="1"/>
    <s v="Anand Raj"/>
    <x v="1"/>
    <s v="Electronics"/>
    <n v="4585.2"/>
    <n v="3153.78"/>
    <n v="1431.42"/>
    <m/>
    <n v="5"/>
    <s v="Missed"/>
    <x v="9"/>
    <n v="3"/>
    <x v="0"/>
  </r>
  <r>
    <s v="TXN-10853"/>
    <d v="2024-07-04T00:00:00"/>
    <x v="4"/>
    <s v="Suresh Pillai"/>
    <x v="0"/>
    <s v="Apparel"/>
    <n v="2537.2800000000002"/>
    <n v="1746.22"/>
    <n v="791.06"/>
    <m/>
    <n v="3"/>
    <s v="Met"/>
    <x v="3"/>
    <n v="3"/>
    <x v="0"/>
  </r>
  <r>
    <s v="TXN-10206"/>
    <d v="2024-05-03T00:00:00"/>
    <x v="4"/>
    <s v="Chen Mei Ling"/>
    <x v="0"/>
    <s v="Electronic"/>
    <n v="3163.95"/>
    <n v="2377.2600000000002"/>
    <n v="786.69"/>
    <m/>
    <n v="5"/>
    <s v="Met"/>
    <x v="7"/>
    <n v="2"/>
    <x v="0"/>
  </r>
  <r>
    <s v="TXN-10615"/>
    <d v="2024-12-25T00:00:00"/>
    <x v="2"/>
    <s v="Chong Kah Wei"/>
    <x v="5"/>
    <s v="Groceries"/>
    <n v="1299.97"/>
    <n v="1085.1099999999999"/>
    <n v="214.86"/>
    <m/>
    <n v="5"/>
    <s v="Missed"/>
    <x v="11"/>
    <n v="4"/>
    <x v="0"/>
  </r>
  <r>
    <s v="TXN-10527"/>
    <d v="2024-09-16T00:00:00"/>
    <x v="3"/>
    <s v="Farah Aziz"/>
    <x v="5"/>
    <s v="Automotive Parts"/>
    <n v="1150.24"/>
    <n v="910.49"/>
    <n v="239.75"/>
    <m/>
    <n v="1"/>
    <s v="Met"/>
    <x v="9"/>
    <n v="3"/>
    <x v="0"/>
  </r>
  <r>
    <s v="TXN-10964"/>
    <d v="2024-12-03T00:00:00"/>
    <x v="3"/>
    <s v="Wei Jian"/>
    <x v="3"/>
    <s v="Groceries"/>
    <n v="1376.24"/>
    <n v="1024.3699999999999"/>
    <n v="351.87"/>
    <m/>
    <n v="4"/>
    <s v="Missed"/>
    <x v="11"/>
    <n v="4"/>
    <x v="0"/>
  </r>
  <r>
    <s v="TXN-10987"/>
    <d v="2024-04-03T00:00:00"/>
    <x v="0"/>
    <s v="Noraini Yaakob"/>
    <x v="5"/>
    <s v="Groceries"/>
    <n v="2556.27"/>
    <n v="2019.68"/>
    <n v="536.59"/>
    <n v="4"/>
    <n v="1"/>
    <s v="Met"/>
    <x v="0"/>
    <n v="2"/>
    <x v="1"/>
  </r>
  <r>
    <s v="TXN-10828"/>
    <d v="2024-04-20T00:00:00"/>
    <x v="2"/>
    <s v="Priya Devi"/>
    <x v="5"/>
    <s v="Electronics"/>
    <n v="2313.34"/>
    <n v="2113.48"/>
    <n v="199.86"/>
    <n v="5"/>
    <n v="4"/>
    <s v="Met"/>
    <x v="0"/>
    <n v="2"/>
    <x v="1"/>
  </r>
  <r>
    <s v="TXN-10308"/>
    <d v="2024-08-06T00:00:00"/>
    <x v="4"/>
    <s v="Chen Mei Ling"/>
    <x v="3"/>
    <s v="Automotive Parts"/>
    <n v="1506.3"/>
    <n v="844.22"/>
    <n v="662.08"/>
    <m/>
    <n v="5"/>
    <s v="Met"/>
    <x v="2"/>
    <n v="3"/>
    <x v="0"/>
  </r>
  <r>
    <s v="TXN-10201"/>
    <d v="2024-03-10T00:00:00"/>
    <x v="4"/>
    <s v="Lim Pei Yi"/>
    <x v="1"/>
    <s v="Groceries"/>
    <n v="2764.73"/>
    <n v="1882.98"/>
    <n v="881.75"/>
    <n v="4"/>
    <n v="4"/>
    <s v="Met"/>
    <x v="6"/>
    <n v="1"/>
    <x v="1"/>
  </r>
  <r>
    <s v="TXN-10361"/>
    <d v="2024-10-10T00:00:00"/>
    <x v="1"/>
    <s v="Nurul Huda"/>
    <x v="0"/>
    <s v="Groceries"/>
    <n v="3014.26"/>
    <n v="1723.01"/>
    <n v="1291.25"/>
    <m/>
    <n v="4"/>
    <s v="Met"/>
    <x v="5"/>
    <n v="4"/>
    <x v="0"/>
  </r>
  <r>
    <s v="TXN-10743"/>
    <d v="2024-03-18T00:00:00"/>
    <x v="2"/>
    <s v="Muthu Kannan"/>
    <x v="0"/>
    <s v="Automotive Parts"/>
    <n v="2635.59"/>
    <n v="2314.7600000000002"/>
    <n v="320.83"/>
    <m/>
    <n v="5"/>
    <s v="Missed"/>
    <x v="6"/>
    <n v="1"/>
    <x v="0"/>
  </r>
  <r>
    <s v="TXN-10655"/>
    <d v="2024-12-24T00:00:00"/>
    <x v="0"/>
    <s v="Maya Devi"/>
    <x v="4"/>
    <s v="Apparel"/>
    <n v="600.92999999999995"/>
    <n v="358.07"/>
    <n v="242.86"/>
    <n v="6"/>
    <n v="3"/>
    <s v="Met"/>
    <x v="11"/>
    <n v="4"/>
    <x v="0"/>
  </r>
  <r>
    <s v="TXN-10747"/>
    <d v="2024-09-21T00:00:00"/>
    <x v="0"/>
    <s v="Roslan Ahmad"/>
    <x v="1"/>
    <s v="Groceries"/>
    <n v="2083.5100000000002"/>
    <n v="1606.17"/>
    <n v="477.34"/>
    <m/>
    <n v="3"/>
    <s v="Met"/>
    <x v="9"/>
    <n v="3"/>
    <x v="0"/>
  </r>
  <r>
    <s v="TXN-10459"/>
    <d v="2024-12-22T00:00:00"/>
    <x v="1"/>
    <s v="Michelle Tan"/>
    <x v="4"/>
    <s v="Furniture"/>
    <n v="3445.71"/>
    <n v="2002.62"/>
    <n v="1443.09"/>
    <m/>
    <n v="4"/>
    <s v="Missed"/>
    <x v="11"/>
    <n v="4"/>
    <x v="0"/>
  </r>
  <r>
    <s v="TXN-10408"/>
    <d v="2024-09-08T00:00:00"/>
    <x v="3"/>
    <s v="Raj Kumar"/>
    <x v="4"/>
    <s v="Automotive Parts"/>
    <n v="1728.16"/>
    <n v="1128.9000000000001"/>
    <n v="599.26"/>
    <m/>
    <n v="5"/>
    <s v="Met"/>
    <x v="9"/>
    <n v="3"/>
    <x v="0"/>
  </r>
  <r>
    <s v="TXN-10481"/>
    <d v="2024-10-22T00:00:00"/>
    <x v="1"/>
    <s v="Eddy Chong"/>
    <x v="5"/>
    <s v="Furniture"/>
    <n v="3077.06"/>
    <n v="1927.45"/>
    <n v="1149.6099999999999"/>
    <m/>
    <n v="4"/>
    <s v="Missed"/>
    <x v="5"/>
    <n v="4"/>
    <x v="0"/>
  </r>
  <r>
    <s v="TXN-10179"/>
    <d v="2024-06-02T00:00:00"/>
    <x v="0"/>
    <s v="Karthik Selvam"/>
    <x v="2"/>
    <s v="Electronics"/>
    <n v="1631.16"/>
    <n v="909.81"/>
    <n v="721.35"/>
    <m/>
    <n v="4"/>
    <s v="Missed"/>
    <x v="4"/>
    <n v="2"/>
    <x v="0"/>
  </r>
  <r>
    <s v="TXN-10292"/>
    <d v="2024-01-12T00:00:00"/>
    <x v="2"/>
    <s v="Zulkifli Hassan"/>
    <x v="0"/>
    <s v="Automotive Parts"/>
    <n v="2734.6"/>
    <n v="2481.75"/>
    <n v="252.85"/>
    <m/>
    <n v="4"/>
    <s v="Met"/>
    <x v="1"/>
    <n v="1"/>
    <x v="0"/>
  </r>
  <r>
    <s v="TXN-10514"/>
    <d v="2024-08-16T00:00:00"/>
    <x v="1"/>
    <s v="Vikram Singh"/>
    <x v="3"/>
    <s v="Electronics"/>
    <n v="4752.0200000000004"/>
    <n v="3255.93"/>
    <n v="1496.09"/>
    <m/>
    <n v="5"/>
    <s v="Missed"/>
    <x v="2"/>
    <n v="3"/>
    <x v="0"/>
  </r>
  <r>
    <s v="TXN-10447"/>
    <d v="2024-09-05T00:00:00"/>
    <x v="4"/>
    <s v="Chen Mei Ling"/>
    <x v="4"/>
    <s v="Furniture"/>
    <n v="243.73"/>
    <n v="142.76"/>
    <n v="100.97"/>
    <n v="5"/>
    <n v="2"/>
    <s v="Met"/>
    <x v="9"/>
    <n v="3"/>
    <x v="1"/>
  </r>
  <r>
    <s v="TXN-10710"/>
    <d v="2024-07-04T00:00:00"/>
    <x v="1"/>
    <s v="Michelle Tan"/>
    <x v="4"/>
    <s v="Furniture"/>
    <n v="2261.42"/>
    <n v="1619.31"/>
    <n v="642.11"/>
    <m/>
    <n v="4"/>
    <s v="Met"/>
    <x v="3"/>
    <n v="3"/>
    <x v="0"/>
  </r>
  <r>
    <s v="TXN-10771"/>
    <d v="2024-01-04T00:00:00"/>
    <x v="1"/>
    <s v="Michelle Tan"/>
    <x v="1"/>
    <s v="Groceries"/>
    <n v="3402.48"/>
    <n v="1916.42"/>
    <n v="1486.06"/>
    <m/>
    <n v="3"/>
    <s v="Missed"/>
    <x v="1"/>
    <n v="1"/>
    <x v="0"/>
  </r>
  <r>
    <s v="TXN-10993"/>
    <d v="2024-10-18T00:00:00"/>
    <x v="1"/>
    <s v="Michelle Tan"/>
    <x v="2"/>
    <s v="Groceries"/>
    <n v="1618.54"/>
    <n v="1166.8"/>
    <n v="451.74"/>
    <m/>
    <n v="4"/>
    <s v="Met"/>
    <x v="5"/>
    <n v="4"/>
    <x v="0"/>
  </r>
  <r>
    <s v="TXN-10098"/>
    <d v="2024-08-15T00:00:00"/>
    <x v="0"/>
    <s v="Wong Li Ting"/>
    <x v="0"/>
    <s v="Automotive Parts"/>
    <n v="3490.83"/>
    <n v="2627.3"/>
    <n v="863.53"/>
    <m/>
    <n v="4"/>
    <s v="Met"/>
    <x v="2"/>
    <n v="3"/>
    <x v="0"/>
  </r>
  <r>
    <s v="TXN-10556"/>
    <d v="2024-01-07T00:00:00"/>
    <x v="2"/>
    <s v="Hafiz Idris"/>
    <x v="1"/>
    <s v="Apparel"/>
    <n v="2171.0300000000002"/>
    <n v="1700.2"/>
    <n v="470.83"/>
    <n v="6"/>
    <n v="4"/>
    <s v="Missed"/>
    <x v="1"/>
    <n v="1"/>
    <x v="1"/>
  </r>
  <r>
    <s v="TXN-10203"/>
    <d v="2024-03-24T00:00:00"/>
    <x v="4"/>
    <s v="Suresh Pillai"/>
    <x v="5"/>
    <s v="Furniture"/>
    <n v="3010.3"/>
    <n v="2242.5500000000002"/>
    <n v="767.75"/>
    <m/>
    <n v="5"/>
    <s v="Met"/>
    <x v="6"/>
    <n v="1"/>
    <x v="0"/>
  </r>
  <r>
    <s v="TXN-10452"/>
    <d v="2024-03-19T00:00:00"/>
    <x v="2"/>
    <s v="Muthu Kannan"/>
    <x v="4"/>
    <s v="Apparel"/>
    <n v="1177.76"/>
    <n v="929.96"/>
    <n v="247.8"/>
    <n v="5"/>
    <n v="3"/>
    <s v="Missed"/>
    <x v="6"/>
    <n v="1"/>
    <x v="1"/>
  </r>
  <r>
    <s v="TXN-10627"/>
    <d v="2024-11-06T00:00:00"/>
    <x v="0"/>
    <s v="Izzat Fikri"/>
    <x v="3"/>
    <s v="Automotive Parts"/>
    <n v="2357.56"/>
    <n v="1636.17"/>
    <n v="721.39"/>
    <n v="6"/>
    <n v="3"/>
    <s v="Met"/>
    <x v="8"/>
    <n v="4"/>
    <x v="1"/>
  </r>
  <r>
    <s v="TXN-10020"/>
    <d v="2024-06-06T00:00:00"/>
    <x v="2"/>
    <s v="Hafiz Idris"/>
    <x v="3"/>
    <s v="Electronics"/>
    <n v="2162.41"/>
    <n v="1976.19"/>
    <n v="186.22"/>
    <m/>
    <n v="4"/>
    <s v="Missed"/>
    <x v="4"/>
    <n v="2"/>
    <x v="0"/>
  </r>
  <r>
    <s v="TXN-10836"/>
    <d v="2024-02-24T00:00:00"/>
    <x v="0"/>
    <s v="Roslan Ahmad"/>
    <x v="1"/>
    <s v="Apparel"/>
    <n v="906.48"/>
    <n v="644.49"/>
    <n v="261.99"/>
    <m/>
    <n v="3"/>
    <s v="Missed"/>
    <x v="10"/>
    <n v="1"/>
    <x v="0"/>
  </r>
  <r>
    <s v="TXN-10695"/>
    <d v="2024-05-05T00:00:00"/>
    <x v="2"/>
    <s v="Priya Devi"/>
    <x v="3"/>
    <s v="Electronics"/>
    <n v="666.36"/>
    <n v="547.87"/>
    <n v="118.49"/>
    <n v="7"/>
    <n v="3"/>
    <s v="Missed"/>
    <x v="7"/>
    <n v="2"/>
    <x v="1"/>
  </r>
  <r>
    <s v="TXN-10573"/>
    <d v="2024-03-19T00:00:00"/>
    <x v="1"/>
    <s v="Farhana Ismail"/>
    <x v="2"/>
    <s v="Electronics"/>
    <n v="2049.12"/>
    <n v="1636.43"/>
    <n v="412.69"/>
    <m/>
    <n v="5"/>
    <s v="Met"/>
    <x v="6"/>
    <n v="1"/>
    <x v="0"/>
  </r>
  <r>
    <s v="TXN-10373"/>
    <d v="2024-10-20T00:00:00"/>
    <x v="4"/>
    <s v="Faisal Rashid"/>
    <x v="3"/>
    <s v="Automotive Parts"/>
    <n v="2384.0700000000002"/>
    <n v="1787.8"/>
    <n v="596.27"/>
    <m/>
    <n v="4"/>
    <s v="Missed"/>
    <x v="5"/>
    <n v="4"/>
    <x v="0"/>
  </r>
  <r>
    <s v="TXN-10643"/>
    <d v="2024-10-17T00:00:00"/>
    <x v="1"/>
    <s v="Anand Raj"/>
    <x v="3"/>
    <s v="Furniture"/>
    <n v="2726.19"/>
    <n v="1676.68"/>
    <n v="1049.51"/>
    <m/>
    <n v="4"/>
    <s v="Met"/>
    <x v="5"/>
    <n v="4"/>
    <x v="0"/>
  </r>
  <r>
    <s v="TXN-10015"/>
    <d v="2024-02-04T00:00:00"/>
    <x v="3"/>
    <s v="Daniel Tan"/>
    <x v="0"/>
    <s v="Electronics"/>
    <n v="2411.96"/>
    <n v="1468.4"/>
    <n v="943.56"/>
    <m/>
    <n v="4"/>
    <s v="Missed"/>
    <x v="10"/>
    <n v="1"/>
    <x v="0"/>
  </r>
  <r>
    <s v="TXN-10719"/>
    <d v="2024-01-07T00:00:00"/>
    <x v="1"/>
    <s v="Anand Raj"/>
    <x v="4"/>
    <s v="Electronics"/>
    <n v="1019.06"/>
    <n v="744.2"/>
    <n v="274.86"/>
    <m/>
    <n v="5"/>
    <s v="Met"/>
    <x v="1"/>
    <n v="1"/>
    <x v="0"/>
  </r>
  <r>
    <s v="TXN-10427"/>
    <d v="2024-01-07T00:00:00"/>
    <x v="3"/>
    <s v="Siti Noraini"/>
    <x v="5"/>
    <s v="Furniture"/>
    <n v="725.31"/>
    <n v="485.44"/>
    <n v="239.87"/>
    <m/>
    <n v="5"/>
    <s v="Met"/>
    <x v="1"/>
    <n v="1"/>
    <x v="0"/>
  </r>
  <r>
    <s v="TXN-10280"/>
    <d v="2024-12-31T00:00:00"/>
    <x v="3"/>
    <s v="Wei Jian"/>
    <x v="5"/>
    <s v="Automotive Parts"/>
    <n v="984.02"/>
    <n v="730.94"/>
    <n v="253.08"/>
    <m/>
    <n v="3"/>
    <s v="Met"/>
    <x v="11"/>
    <n v="4"/>
    <x v="0"/>
  </r>
  <r>
    <s v="TXN-10925"/>
    <d v="2024-05-29T00:00:00"/>
    <x v="3"/>
    <s v="Farah Aziz"/>
    <x v="2"/>
    <s v="Groceries"/>
    <n v="1023.69"/>
    <n v="584.79"/>
    <n v="438.9"/>
    <m/>
    <n v="4"/>
    <s v="Met"/>
    <x v="7"/>
    <n v="2"/>
    <x v="0"/>
  </r>
  <r>
    <s v="TXN-10748"/>
    <d v="2024-01-18T00:00:00"/>
    <x v="2"/>
    <s v="Chong Kah Wei"/>
    <x v="5"/>
    <s v="Electronics"/>
    <n v="2948.52"/>
    <n v="2218.2399999999998"/>
    <n v="730.28"/>
    <n v="12"/>
    <n v="1"/>
    <s v="Met"/>
    <x v="1"/>
    <n v="1"/>
    <x v="1"/>
  </r>
  <r>
    <s v="TXN-10445"/>
    <d v="2024-10-26T00:00:00"/>
    <x v="1"/>
    <s v="Nurul Huda"/>
    <x v="3"/>
    <s v="Automotive Parts"/>
    <n v="1821.07"/>
    <n v="1194.3599999999999"/>
    <n v="626.71"/>
    <m/>
    <n v="5"/>
    <s v="Met"/>
    <x v="5"/>
    <n v="4"/>
    <x v="0"/>
  </r>
  <r>
    <s v="TXN-10795"/>
    <d v="2024-08-27T00:00:00"/>
    <x v="2"/>
    <s v="Amir Hakim"/>
    <x v="0"/>
    <s v="Furniture"/>
    <n v="973.09"/>
    <n v="839.25"/>
    <n v="133.84"/>
    <n v="3"/>
    <n v="4"/>
    <s v="Missed"/>
    <x v="2"/>
    <n v="3"/>
    <x v="1"/>
  </r>
  <r>
    <s v="TXN-10274"/>
    <d v="2024-10-03T00:00:00"/>
    <x v="0"/>
    <s v="Roslan Ahmad"/>
    <x v="3"/>
    <s v="Automotive Parts"/>
    <n v="3281.77"/>
    <n v="2255.02"/>
    <n v="1026.75"/>
    <m/>
    <n v="3"/>
    <s v="Met"/>
    <x v="5"/>
    <n v="4"/>
    <x v="0"/>
  </r>
  <r>
    <s v="TXN-10339"/>
    <d v="2024-01-27T00:00:00"/>
    <x v="0"/>
    <s v="Hock Seng"/>
    <x v="2"/>
    <s v="Electronics"/>
    <n v="2348.67"/>
    <n v="1463.08"/>
    <n v="885.59"/>
    <n v="5"/>
    <n v="2"/>
    <s v="Met"/>
    <x v="1"/>
    <n v="1"/>
    <x v="1"/>
  </r>
  <r>
    <s v="TXN-10991"/>
    <d v="2024-10-19T00:00:00"/>
    <x v="1"/>
    <s v="Vikram Singh"/>
    <x v="3"/>
    <s v="Electronics"/>
    <n v="935.46"/>
    <n v="527.47"/>
    <n v="407.99"/>
    <m/>
    <n v="5"/>
    <s v="Met"/>
    <x v="5"/>
    <n v="4"/>
    <x v="0"/>
  </r>
  <r>
    <s v="TXN-10986"/>
    <d v="2024-03-10T00:00:00"/>
    <x v="1"/>
    <s v="Eddy Chong"/>
    <x v="1"/>
    <s v="Electronics"/>
    <n v="1419.35"/>
    <n v="1086.77"/>
    <n v="332.58"/>
    <m/>
    <n v="4"/>
    <s v="Met"/>
    <x v="6"/>
    <n v="1"/>
    <x v="0"/>
  </r>
  <r>
    <s v="TXN-10054"/>
    <d v="2024-12-01T00:00:00"/>
    <x v="3"/>
    <s v="Nur Aina"/>
    <x v="1"/>
    <s v="Electronics"/>
    <n v="4338.22"/>
    <n v="3233.63"/>
    <n v="1104.5899999999999"/>
    <m/>
    <n v="5"/>
    <s v="Met"/>
    <x v="11"/>
    <n v="4"/>
    <x v="0"/>
  </r>
  <r>
    <s v="TXN-10854"/>
    <d v="2024-07-10T00:00:00"/>
    <x v="2"/>
    <s v="Zulkifli Hassan"/>
    <x v="1"/>
    <s v="Apparel"/>
    <n v="972.87"/>
    <n v="784.67"/>
    <n v="188.2"/>
    <m/>
    <n v="4"/>
    <s v="Missed"/>
    <x v="3"/>
    <n v="3"/>
    <x v="0"/>
  </r>
  <r>
    <s v="TXN-10464"/>
    <d v="2024-01-15T00:00:00"/>
    <x v="3"/>
    <s v="Raj Kumar"/>
    <x v="1"/>
    <s v="Groceries"/>
    <n v="1757.89"/>
    <n v="1321.96"/>
    <n v="435.93"/>
    <m/>
    <n v="4"/>
    <s v="Met"/>
    <x v="1"/>
    <n v="1"/>
    <x v="0"/>
  </r>
  <r>
    <s v="TXN-10320"/>
    <d v="2024-08-23T00:00:00"/>
    <x v="2"/>
    <s v="Chong Kah Wei"/>
    <x v="3"/>
    <s v="Electronics"/>
    <n v="4512.82"/>
    <n v="3491.68"/>
    <n v="1021.14"/>
    <m/>
    <n v="4"/>
    <s v="Met"/>
    <x v="2"/>
    <n v="3"/>
    <x v="0"/>
  </r>
  <r>
    <s v="TXN-10753"/>
    <d v="2024-09-24T00:00:00"/>
    <x v="3"/>
    <s v="Wei Jian"/>
    <x v="3"/>
    <s v="Furniture"/>
    <n v="3406.23"/>
    <n v="2634.5"/>
    <n v="771.73"/>
    <m/>
    <n v="4"/>
    <s v="Missed"/>
    <x v="9"/>
    <n v="3"/>
    <x v="0"/>
  </r>
  <r>
    <s v="TXN-10350"/>
    <d v="2024-07-15T00:00:00"/>
    <x v="2"/>
    <s v="Jasmine Wong"/>
    <x v="2"/>
    <s v="Electronics"/>
    <n v="3201.55"/>
    <n v="2515.85"/>
    <n v="685.7"/>
    <m/>
    <n v="3"/>
    <s v="Met"/>
    <x v="3"/>
    <n v="3"/>
    <x v="0"/>
  </r>
  <r>
    <s v="TXN-10006"/>
    <d v="2024-04-22T00:00:00"/>
    <x v="0"/>
    <s v="Noraini Yaakob"/>
    <x v="2"/>
    <s v="Furniture"/>
    <n v="3491.04"/>
    <n v="2040.8"/>
    <n v="1450.24"/>
    <n v="5"/>
    <n v="4"/>
    <s v="Met"/>
    <x v="0"/>
    <n v="2"/>
    <x v="1"/>
  </r>
  <r>
    <s v="TXN-10754"/>
    <d v="2024-03-12T00:00:00"/>
    <x v="3"/>
    <s v="Kevin Lim"/>
    <x v="5"/>
    <s v="Apparel"/>
    <n v="631.70000000000005"/>
    <n v="477.32"/>
    <n v="154.38"/>
    <m/>
    <n v="4"/>
    <s v="Met"/>
    <x v="6"/>
    <n v="1"/>
    <x v="0"/>
  </r>
  <r>
    <s v="TXN-10491"/>
    <d v="2024-12-11T00:00:00"/>
    <x v="2"/>
    <s v="Jasmine Wong"/>
    <x v="1"/>
    <s v="Electronics"/>
    <n v="2715.61"/>
    <n v="1929.46"/>
    <n v="786.15"/>
    <m/>
    <n v="2"/>
    <s v="Missed"/>
    <x v="11"/>
    <n v="4"/>
    <x v="0"/>
  </r>
  <r>
    <s v="TXN-10040"/>
    <d v="2024-08-20T00:00:00"/>
    <x v="1"/>
    <s v="Farhana Ismail"/>
    <x v="4"/>
    <s v="Furniture"/>
    <n v="1057.57"/>
    <n v="648.13"/>
    <n v="409.44"/>
    <m/>
    <n v="5"/>
    <s v="Met"/>
    <x v="2"/>
    <n v="3"/>
    <x v="0"/>
  </r>
  <r>
    <s v="TXN-10975"/>
    <d v="2024-02-27T00:00:00"/>
    <x v="1"/>
    <s v="Lee Jia Hui"/>
    <x v="2"/>
    <s v="Electronics"/>
    <n v="3211.5"/>
    <n v="2247.25"/>
    <n v="964.25"/>
    <n v="8"/>
    <n v="2"/>
    <s v="Missed"/>
    <x v="10"/>
    <n v="1"/>
    <x v="1"/>
  </r>
  <r>
    <s v="TXN-10479"/>
    <d v="2024-03-11T00:00:00"/>
    <x v="4"/>
    <s v="Uknown"/>
    <x v="0"/>
    <s v="Apparel"/>
    <n v="3494.66"/>
    <n v="2579.39"/>
    <n v="915.27"/>
    <n v="6"/>
    <n v="4"/>
    <s v="Met"/>
    <x v="6"/>
    <n v="1"/>
    <x v="1"/>
  </r>
  <r>
    <s v="TXN-10497"/>
    <d v="2024-05-01T00:00:00"/>
    <x v="0"/>
    <s v="Noraini Yaakob"/>
    <x v="0"/>
    <s v="Groceries"/>
    <n v="3243.42"/>
    <n v="2268.83"/>
    <n v="974.59"/>
    <m/>
    <n v="4"/>
    <s v="Met"/>
    <x v="7"/>
    <n v="2"/>
    <x v="0"/>
  </r>
  <r>
    <s v="TXN-10725"/>
    <d v="2024-03-31T00:00:00"/>
    <x v="1"/>
    <s v="Syafiq Azman"/>
    <x v="4"/>
    <s v="Groceries"/>
    <n v="1250.94"/>
    <n v="839.16"/>
    <n v="411.78"/>
    <m/>
    <n v="5"/>
    <s v="Missed"/>
    <x v="6"/>
    <n v="1"/>
    <x v="0"/>
  </r>
  <r>
    <s v="TXN-10245"/>
    <d v="2024-03-12T00:00:00"/>
    <x v="1"/>
    <s v="Farhana Ismail"/>
    <x v="5"/>
    <s v="Apparel"/>
    <n v="3135.85"/>
    <n v="1878.71"/>
    <n v="1257.1400000000001"/>
    <m/>
    <n v="5"/>
    <s v="Met"/>
    <x v="6"/>
    <n v="1"/>
    <x v="0"/>
  </r>
  <r>
    <s v="TXN-10187"/>
    <d v="2024-07-21T00:00:00"/>
    <x v="4"/>
    <s v="Brandon Ong"/>
    <x v="1"/>
    <s v="Automotive Parts"/>
    <n v="2113.16"/>
    <n v="1340.04"/>
    <n v="773.12"/>
    <n v="7"/>
    <n v="4"/>
    <s v="Met"/>
    <x v="3"/>
    <n v="3"/>
    <x v="1"/>
  </r>
  <r>
    <s v="TXN-10042"/>
    <d v="2024-09-02T00:00:00"/>
    <x v="3"/>
    <s v="Uknown"/>
    <x v="6"/>
    <s v="Furniture"/>
    <n v="1625.57"/>
    <n v="968.99"/>
    <n v="656.58"/>
    <n v="3"/>
    <n v="2"/>
    <s v="Missed"/>
    <x v="9"/>
    <n v="3"/>
    <x v="1"/>
  </r>
  <r>
    <s v="TXN-10357"/>
    <d v="2024-11-16T00:00:00"/>
    <x v="1"/>
    <s v="Lee Jia Hui"/>
    <x v="2"/>
    <s v="Electronics"/>
    <n v="3176.64"/>
    <n v="1901"/>
    <n v="1275.6400000000001"/>
    <m/>
    <n v="4"/>
    <s v="Missed"/>
    <x v="8"/>
    <n v="4"/>
    <x v="0"/>
  </r>
  <r>
    <s v="TXN-10532"/>
    <d v="2024-09-07T00:00:00"/>
    <x v="4"/>
    <s v="Aina Sofea"/>
    <x v="2"/>
    <s v="Apparel"/>
    <n v="470.06"/>
    <n v="299.52999999999997"/>
    <n v="170.53"/>
    <m/>
    <n v="5"/>
    <s v="Missed"/>
    <x v="9"/>
    <n v="3"/>
    <x v="0"/>
  </r>
  <r>
    <s v="TXN-10716"/>
    <d v="2024-02-23T00:00:00"/>
    <x v="0"/>
    <s v="Maya Devi"/>
    <x v="3"/>
    <s v="Apparel"/>
    <n v="639.04999999999995"/>
    <n v="393.42"/>
    <n v="245.63"/>
    <m/>
    <n v="5"/>
    <s v="Missed"/>
    <x v="10"/>
    <n v="1"/>
    <x v="0"/>
  </r>
  <r>
    <s v="TXN-10095"/>
    <d v="2024-06-29T00:00:00"/>
    <x v="3"/>
    <s v="Aisha Rahman"/>
    <x v="1"/>
    <s v="Automotive Parts"/>
    <n v="2209.75"/>
    <n v="1455.64"/>
    <n v="754.11"/>
    <n v="6"/>
    <n v="3"/>
    <s v="Met"/>
    <x v="4"/>
    <n v="2"/>
    <x v="1"/>
  </r>
  <r>
    <s v="TXN-10064"/>
    <d v="2024-09-07T00:00:00"/>
    <x v="0"/>
    <s v="Wong Li Ting"/>
    <x v="1"/>
    <s v="Electronics"/>
    <n v="3492.7"/>
    <n v="2165.25"/>
    <n v="1327.45"/>
    <m/>
    <n v="4"/>
    <s v="Met"/>
    <x v="9"/>
    <n v="3"/>
    <x v="0"/>
  </r>
  <r>
    <s v="TXN-10322"/>
    <d v="2024-09-11T00:00:00"/>
    <x v="3"/>
    <s v="Nur Aina"/>
    <x v="4"/>
    <s v="Furniture"/>
    <n v="3088.11"/>
    <n v="1985.33"/>
    <n v="1102.78"/>
    <m/>
    <n v="3"/>
    <s v="Met"/>
    <x v="9"/>
    <n v="3"/>
    <x v="0"/>
  </r>
  <r>
    <s v="TXN-10906"/>
    <d v="2024-02-06T00:00:00"/>
    <x v="2"/>
    <s v="Sarah Lee"/>
    <x v="1"/>
    <s v="Electronics"/>
    <n v="2441.63"/>
    <n v="1780.56"/>
    <n v="661.07"/>
    <n v="4"/>
    <n v="3"/>
    <s v="Met"/>
    <x v="10"/>
    <n v="1"/>
    <x v="1"/>
  </r>
  <r>
    <s v="TXN-10192"/>
    <d v="2024-11-10T00:00:00"/>
    <x v="3"/>
    <s v="Siti Noraini"/>
    <x v="4"/>
    <s v="Groceries"/>
    <n v="3142.31"/>
    <n v="2281.71"/>
    <n v="860.6"/>
    <m/>
    <n v="5"/>
    <s v="Missed"/>
    <x v="8"/>
    <n v="4"/>
    <x v="0"/>
  </r>
  <r>
    <s v="TXN-10444"/>
    <d v="2024-07-03T00:00:00"/>
    <x v="1"/>
    <s v="Anand Raj"/>
    <x v="0"/>
    <s v="Apparel"/>
    <n v="1671.94"/>
    <n v="980.82"/>
    <n v="691.12"/>
    <m/>
    <n v="2"/>
    <s v="Met"/>
    <x v="3"/>
    <n v="3"/>
    <x v="0"/>
  </r>
  <r>
    <s v="TXN-10122"/>
    <d v="2024-02-27T00:00:00"/>
    <x v="4"/>
    <s v="Suresh Pillai"/>
    <x v="5"/>
    <s v="Automotive Parts"/>
    <n v="356.89"/>
    <n v="245.15"/>
    <n v="111.74"/>
    <m/>
    <n v="4"/>
    <s v="Met"/>
    <x v="10"/>
    <n v="1"/>
    <x v="0"/>
  </r>
  <r>
    <s v="TXN-10446"/>
    <d v="2024-04-18T00:00:00"/>
    <x v="1"/>
    <s v="Lee Jia Hui"/>
    <x v="2"/>
    <s v="Electronics"/>
    <n v="1675.7"/>
    <n v="935.3"/>
    <n v="740.4"/>
    <m/>
    <n v="5"/>
    <s v="Met"/>
    <x v="0"/>
    <n v="2"/>
    <x v="0"/>
  </r>
  <r>
    <s v="TXN-10490"/>
    <d v="2024-05-22T00:00:00"/>
    <x v="0"/>
    <s v="Hock Seng"/>
    <x v="0"/>
    <s v="Groceries"/>
    <n v="2969.23"/>
    <n v="1759.71"/>
    <n v="1209.52"/>
    <m/>
    <n v="3"/>
    <s v="Met"/>
    <x v="7"/>
    <n v="2"/>
    <x v="0"/>
  </r>
  <r>
    <s v="TXN-10757"/>
    <d v="2024-02-22T00:00:00"/>
    <x v="0"/>
    <s v="Wong Li Ting"/>
    <x v="4"/>
    <s v="Electronics"/>
    <n v="446.72"/>
    <n v="327.42"/>
    <n v="119.3"/>
    <m/>
    <n v="4"/>
    <s v="Met"/>
    <x v="10"/>
    <n v="1"/>
    <x v="0"/>
  </r>
  <r>
    <s v="TXN-10510"/>
    <d v="2024-05-16T00:00:00"/>
    <x v="3"/>
    <s v="Raj Kumar"/>
    <x v="3"/>
    <s v="Groceries"/>
    <n v="3272.63"/>
    <n v="2187.12"/>
    <n v="1085.51"/>
    <m/>
    <n v="5"/>
    <s v="Met"/>
    <x v="7"/>
    <n v="2"/>
    <x v="0"/>
  </r>
  <r>
    <s v="TXN-10603"/>
    <d v="2024-10-26T00:00:00"/>
    <x v="2"/>
    <s v="Chong Kah Wei"/>
    <x v="4"/>
    <s v="Automotive Parts"/>
    <n v="3124.12"/>
    <n v="2850.71"/>
    <n v="273.41000000000003"/>
    <m/>
    <n v="4"/>
    <s v="Missed"/>
    <x v="5"/>
    <n v="4"/>
    <x v="0"/>
  </r>
  <r>
    <s v="TXN-10961"/>
    <d v="2024-03-23T00:00:00"/>
    <x v="2"/>
    <s v="Muthu Kannan"/>
    <x v="5"/>
    <s v="Electronics"/>
    <n v="2290.86"/>
    <n v="2046.2"/>
    <n v="244.66"/>
    <n v="10"/>
    <n v="3"/>
    <s v="Missed"/>
    <x v="6"/>
    <n v="1"/>
    <x v="1"/>
  </r>
  <r>
    <s v="TXN-10090"/>
    <d v="2024-11-19T00:00:00"/>
    <x v="0"/>
    <s v="Roslan Ahmad"/>
    <x v="2"/>
    <s v="Groceries"/>
    <n v="1876.51"/>
    <n v="1145.58"/>
    <n v="730.93"/>
    <n v="8"/>
    <n v="1"/>
    <s v="Met"/>
    <x v="8"/>
    <n v="4"/>
    <x v="0"/>
  </r>
  <r>
    <s v="TXN-10921"/>
    <d v="2024-07-21T00:00:00"/>
    <x v="1"/>
    <s v="Lee Jia Hui"/>
    <x v="5"/>
    <s v="Groceries"/>
    <n v="3196.27"/>
    <n v="2221.94"/>
    <n v="974.33"/>
    <n v="4"/>
    <n v="4"/>
    <s v="Missed"/>
    <x v="3"/>
    <n v="3"/>
    <x v="1"/>
  </r>
  <r>
    <s v="TXN-10340"/>
    <d v="2024-03-30T00:00:00"/>
    <x v="2"/>
    <s v="Amir Hakim"/>
    <x v="1"/>
    <s v="Furniture"/>
    <n v="1025.2"/>
    <n v="875.7"/>
    <n v="149.5"/>
    <n v="5"/>
    <n v="5"/>
    <s v="Met"/>
    <x v="6"/>
    <n v="1"/>
    <x v="1"/>
  </r>
  <r>
    <s v="TXN-10244"/>
    <d v="2024-06-09T00:00:00"/>
    <x v="4"/>
    <s v="Chen Mei Ling"/>
    <x v="3"/>
    <s v="Electronics"/>
    <n v="1293.93"/>
    <n v="950.98"/>
    <n v="342.95"/>
    <m/>
    <n v="5"/>
    <s v="Met"/>
    <x v="4"/>
    <n v="2"/>
    <x v="0"/>
  </r>
  <r>
    <s v="TXN-10610"/>
    <d v="2024-12-18T00:00:00"/>
    <x v="0"/>
    <s v="Maya Devi"/>
    <x v="1"/>
    <s v="Furniture"/>
    <n v="949.38"/>
    <n v="596.95000000000005"/>
    <n v="352.43"/>
    <n v="8"/>
    <n v="1"/>
    <s v="Missed"/>
    <x v="11"/>
    <n v="4"/>
    <x v="1"/>
  </r>
  <r>
    <s v="TXN-10528"/>
    <d v="2024-09-24T00:00:00"/>
    <x v="1"/>
    <s v="Vikram Singh"/>
    <x v="3"/>
    <s v="Apparel"/>
    <n v="3201.12"/>
    <n v="2558.33"/>
    <n v="642.79"/>
    <m/>
    <n v="2"/>
    <s v="Missed"/>
    <x v="9"/>
    <n v="3"/>
    <x v="0"/>
  </r>
  <r>
    <s v="TXN-10907"/>
    <d v="2024-07-29T00:00:00"/>
    <x v="3"/>
    <s v="Nur Aina"/>
    <x v="4"/>
    <s v="Furniture"/>
    <n v="1418.73"/>
    <n v="964.33"/>
    <n v="454.4"/>
    <m/>
    <n v="5"/>
    <s v="Met"/>
    <x v="3"/>
    <n v="3"/>
    <x v="0"/>
  </r>
  <r>
    <s v="TXN-10989"/>
    <d v="2024-03-26T00:00:00"/>
    <x v="1"/>
    <s v="Vikram Singh"/>
    <x v="0"/>
    <s v="Electronics"/>
    <n v="1239.0899999999999"/>
    <n v="794.16"/>
    <n v="444.93"/>
    <m/>
    <n v="4"/>
    <s v="Met"/>
    <x v="6"/>
    <n v="1"/>
    <x v="0"/>
  </r>
  <r>
    <s v="TXN-10467"/>
    <d v="2024-11-29T00:00:00"/>
    <x v="1"/>
    <s v="Uknown"/>
    <x v="2"/>
    <s v="Electronics"/>
    <n v="5015.43"/>
    <n v="3327.83"/>
    <n v="1687.6"/>
    <m/>
    <n v="1"/>
    <s v="Met"/>
    <x v="8"/>
    <n v="4"/>
    <x v="0"/>
  </r>
  <r>
    <s v="TXN-10635"/>
    <d v="2024-02-23T00:00:00"/>
    <x v="2"/>
    <s v="Priya Devi"/>
    <x v="4"/>
    <s v="Apparel"/>
    <n v="269.26"/>
    <n v="218.55"/>
    <n v="50.71"/>
    <m/>
    <n v="5"/>
    <s v="Met"/>
    <x v="10"/>
    <n v="1"/>
    <x v="0"/>
  </r>
  <r>
    <s v="TXN-10205"/>
    <d v="2024-01-04T00:00:00"/>
    <x v="1"/>
    <s v="Michelle Tan"/>
    <x v="3"/>
    <s v="Groceries"/>
    <n v="1863.57"/>
    <n v="1333.55"/>
    <n v="530.02"/>
    <m/>
    <n v="4"/>
    <s v="Met"/>
    <x v="1"/>
    <n v="1"/>
    <x v="0"/>
  </r>
  <r>
    <s v="TXN-10331"/>
    <d v="2024-12-04T00:00:00"/>
    <x v="0"/>
    <s v="Roslan Ahmad"/>
    <x v="4"/>
    <s v="Groceries"/>
    <n v="355.97"/>
    <n v="215.15"/>
    <n v="140.82"/>
    <m/>
    <n v="5"/>
    <s v="Missed"/>
    <x v="11"/>
    <n v="4"/>
    <x v="0"/>
  </r>
  <r>
    <s v="TXN-10326"/>
    <d v="2024-07-15T00:00:00"/>
    <x v="0"/>
    <s v="Noraini Yaakob"/>
    <x v="1"/>
    <s v="Electronics"/>
    <n v="462.08"/>
    <n v="274.82"/>
    <n v="187.26"/>
    <m/>
    <n v="5"/>
    <s v="Met"/>
    <x v="3"/>
    <n v="3"/>
    <x v="0"/>
  </r>
  <r>
    <s v="TXN-10979"/>
    <d v="2024-08-18T00:00:00"/>
    <x v="1"/>
    <s v="Lee Jia Hui"/>
    <x v="2"/>
    <s v="Furniture"/>
    <n v="1955.36"/>
    <n v="1212.0999999999999"/>
    <n v="743.26"/>
    <n v="9"/>
    <n v="3"/>
    <s v="Met"/>
    <x v="2"/>
    <n v="3"/>
    <x v="1"/>
  </r>
  <r>
    <s v="TXN-10890"/>
    <d v="2024-06-02T00:00:00"/>
    <x v="1"/>
    <s v="Vikram Singh"/>
    <x v="0"/>
    <s v="Furniture"/>
    <n v="3136.57"/>
    <n v="2393.33"/>
    <n v="743.24"/>
    <m/>
    <n v="4"/>
    <s v="Missed"/>
    <x v="4"/>
    <n v="2"/>
    <x v="0"/>
  </r>
  <r>
    <s v="TXN-10749"/>
    <d v="2024-12-01T00:00:00"/>
    <x v="0"/>
    <s v="Wong Li Ting"/>
    <x v="5"/>
    <s v="Apparel"/>
    <n v="2724.51"/>
    <n v="2127.7600000000002"/>
    <n v="596.75"/>
    <m/>
    <n v="4"/>
    <s v="Met"/>
    <x v="11"/>
    <n v="4"/>
    <x v="0"/>
  </r>
  <r>
    <s v="TXN-10235"/>
    <d v="2024-06-27T00:00:00"/>
    <x v="1"/>
    <s v="Michelle Tan"/>
    <x v="2"/>
    <s v="Furniture"/>
    <n v="891.01"/>
    <n v="537.58000000000004"/>
    <n v="353.43"/>
    <m/>
    <n v="5"/>
    <s v="Met"/>
    <x v="4"/>
    <n v="2"/>
    <x v="0"/>
  </r>
  <r>
    <s v="TXN-10289"/>
    <d v="2024-09-26T00:00:00"/>
    <x v="1"/>
    <s v="Anand Raj"/>
    <x v="3"/>
    <s v="Electronics"/>
    <n v="3407.13"/>
    <n v="2680.99"/>
    <n v="726.14"/>
    <m/>
    <n v="4"/>
    <s v="Met"/>
    <x v="9"/>
    <n v="3"/>
    <x v="0"/>
  </r>
  <r>
    <s v="TXN-10261"/>
    <d v="2024-05-11T00:00:00"/>
    <x v="4"/>
    <s v="Aina Sofea"/>
    <x v="5"/>
    <s v="Apparel"/>
    <n v="3084.98"/>
    <n v="2323.87"/>
    <n v="761.11"/>
    <m/>
    <m/>
    <s v="Met"/>
    <x v="7"/>
    <n v="2"/>
    <x v="0"/>
  </r>
  <r>
    <s v="TXN-10624"/>
    <d v="2024-05-28T00:00:00"/>
    <x v="1"/>
    <s v="Nurul Huda"/>
    <x v="0"/>
    <s v="Groceries"/>
    <n v="1119.6500000000001"/>
    <n v="643.79999999999995"/>
    <n v="475.85"/>
    <m/>
    <n v="4"/>
    <s v="Met"/>
    <x v="7"/>
    <n v="2"/>
    <x v="0"/>
  </r>
  <r>
    <s v="TXN-10900"/>
    <d v="2024-02-21T00:00:00"/>
    <x v="2"/>
    <s v="Zulkifli Hassan"/>
    <x v="2"/>
    <s v="Groceries"/>
    <n v="1364.48"/>
    <n v="983.7"/>
    <n v="380.78"/>
    <m/>
    <n v="3"/>
    <s v="Met"/>
    <x v="10"/>
    <n v="1"/>
    <x v="0"/>
  </r>
  <r>
    <s v="TXN-10338"/>
    <d v="2024-08-28T00:00:00"/>
    <x v="3"/>
    <s v="Raj Kumar"/>
    <x v="3"/>
    <s v="Furniture"/>
    <n v="2072.7800000000002"/>
    <n v="1311.82"/>
    <n v="760.96"/>
    <m/>
    <n v="4"/>
    <s v="Missed"/>
    <x v="2"/>
    <n v="3"/>
    <x v="0"/>
  </r>
  <r>
    <s v="TXN-10379"/>
    <d v="2024-07-10T00:00:00"/>
    <x v="0"/>
    <s v="Izzat Fikri"/>
    <x v="1"/>
    <s v="Apparel"/>
    <n v="1866.96"/>
    <n v="1295.33"/>
    <n v="571.63"/>
    <n v="6"/>
    <n v="2"/>
    <s v="Met"/>
    <x v="3"/>
    <n v="3"/>
    <x v="1"/>
  </r>
  <r>
    <s v="TXN-10045"/>
    <d v="2024-05-15T00:00:00"/>
    <x v="3"/>
    <s v="Kevin Lim"/>
    <x v="1"/>
    <s v="Electronics"/>
    <n v="2789.22"/>
    <n v="1969.93"/>
    <n v="819.29"/>
    <m/>
    <n v="5"/>
    <s v="Met"/>
    <x v="7"/>
    <n v="2"/>
    <x v="0"/>
  </r>
  <r>
    <s v="TXN-10416"/>
    <d v="2024-02-29T00:00:00"/>
    <x v="1"/>
    <s v="Nurul Huda"/>
    <x v="3"/>
    <s v="Electronics"/>
    <n v="1199.45"/>
    <n v="953.12"/>
    <n v="246.33"/>
    <m/>
    <n v="5"/>
    <s v="Met"/>
    <x v="10"/>
    <n v="1"/>
    <x v="0"/>
  </r>
  <r>
    <s v="TXN-10108"/>
    <d v="2024-06-22T00:00:00"/>
    <x v="0"/>
    <s v="Roslan Ahmad"/>
    <x v="4"/>
    <s v="Apparel"/>
    <n v="2018.74"/>
    <n v="1294.82"/>
    <n v="723.92"/>
    <m/>
    <n v="4"/>
    <s v="Missed"/>
    <x v="4"/>
    <n v="2"/>
    <x v="0"/>
  </r>
  <r>
    <s v="TXN-10204"/>
    <d v="2024-04-24T00:00:00"/>
    <x v="2"/>
    <s v="Zulkifli Hassan"/>
    <x v="2"/>
    <s v="Apparel"/>
    <n v="995.51"/>
    <n v="873.18"/>
    <n v="122.33"/>
    <m/>
    <n v="4"/>
    <s v="Met"/>
    <x v="0"/>
    <n v="2"/>
    <x v="0"/>
  </r>
  <r>
    <s v="TXN-10170"/>
    <d v="2024-08-10T00:00:00"/>
    <x v="3"/>
    <s v="Farah Aziz"/>
    <x v="0"/>
    <s v="Electronics"/>
    <n v="788.61"/>
    <n v="444.58"/>
    <n v="344.03"/>
    <n v="1"/>
    <n v="1"/>
    <s v="Met"/>
    <x v="2"/>
    <n v="3"/>
    <x v="1"/>
  </r>
  <r>
    <s v="TXN-10892"/>
    <d v="2024-03-31T00:00:00"/>
    <x v="0"/>
    <s v="Karthik Selvam"/>
    <x v="2"/>
    <s v="Apparel"/>
    <n v="1975.96"/>
    <n v="1185.7"/>
    <n v="790.26"/>
    <n v="9"/>
    <n v="1"/>
    <s v="Met"/>
    <x v="6"/>
    <n v="1"/>
    <x v="1"/>
  </r>
  <r>
    <s v="TXN-10209"/>
    <d v="2024-11-13T00:00:00"/>
    <x v="3"/>
    <s v="Daniel Tan"/>
    <x v="1"/>
    <s v="Groceries"/>
    <n v="388.57"/>
    <n v="300.11"/>
    <n v="88.46"/>
    <m/>
    <n v="4"/>
    <s v="Missed"/>
    <x v="8"/>
    <n v="4"/>
    <x v="0"/>
  </r>
  <r>
    <s v="TXN-10183"/>
    <d v="2024-09-05T00:00:00"/>
    <x v="4"/>
    <s v="Brandon Ong"/>
    <x v="3"/>
    <s v="Groceries"/>
    <n v="1302.51"/>
    <n v="900.57"/>
    <n v="401.94"/>
    <m/>
    <n v="4"/>
    <s v="Met"/>
    <x v="9"/>
    <n v="3"/>
    <x v="0"/>
  </r>
  <r>
    <s v="TXN-10145"/>
    <d v="2024-07-22T00:00:00"/>
    <x v="2"/>
    <s v="Amir Hakim"/>
    <x v="3"/>
    <s v="Furniture"/>
    <n v="3395.23"/>
    <n v="2594.36"/>
    <n v="800.87"/>
    <m/>
    <n v="4"/>
    <s v="Missed"/>
    <x v="3"/>
    <n v="3"/>
    <x v="0"/>
  </r>
  <r>
    <s v="TXN-10227"/>
    <d v="2024-02-23T00:00:00"/>
    <x v="2"/>
    <s v="Priya Devi"/>
    <x v="1"/>
    <s v="Apparel"/>
    <n v="1447.81"/>
    <n v="1204.75"/>
    <n v="243.06"/>
    <m/>
    <n v="5"/>
    <s v="Met"/>
    <x v="10"/>
    <n v="1"/>
    <x v="0"/>
  </r>
  <r>
    <s v="TXN-10752"/>
    <d v="2024-09-28T00:00:00"/>
    <x v="2"/>
    <s v="Muthu Kannan"/>
    <x v="1"/>
    <s v="Automotive Parts"/>
    <n v="708.62"/>
    <n v="520.78"/>
    <n v="187.84"/>
    <m/>
    <n v="4"/>
    <s v="Met"/>
    <x v="9"/>
    <n v="3"/>
    <x v="0"/>
  </r>
  <r>
    <s v="TXN-10492"/>
    <d v="2024-01-08T00:00:00"/>
    <x v="3"/>
    <s v="Daniel Tan"/>
    <x v="5"/>
    <s v="Furniture"/>
    <n v="1279.3399999999999"/>
    <n v="765.09"/>
    <n v="514.25"/>
    <m/>
    <n v="5"/>
    <s v="Met"/>
    <x v="1"/>
    <n v="1"/>
    <x v="0"/>
  </r>
  <r>
    <s v="TXN-10782"/>
    <d v="2024-06-18T00:00:00"/>
    <x v="2"/>
    <s v="Sarah Lee"/>
    <x v="1"/>
    <s v="Apparel"/>
    <n v="3447.75"/>
    <n v="3162.13"/>
    <n v="285.62"/>
    <m/>
    <n v="2"/>
    <s v="Missed"/>
    <x v="4"/>
    <n v="2"/>
    <x v="0"/>
  </r>
  <r>
    <s v="TXN-10161"/>
    <d v="2024-06-21T00:00:00"/>
    <x v="4"/>
    <s v="Faisal Rashid"/>
    <x v="4"/>
    <s v="Apparel"/>
    <n v="1983.49"/>
    <n v="1155.68"/>
    <n v="827.81"/>
    <m/>
    <n v="5"/>
    <s v="Missed"/>
    <x v="4"/>
    <n v="2"/>
    <x v="0"/>
  </r>
  <r>
    <s v="TXN-10474"/>
    <d v="2024-12-21T00:00:00"/>
    <x v="2"/>
    <s v="Sarah Lee"/>
    <x v="0"/>
    <s v="Groceries"/>
    <n v="1403.76"/>
    <n v="1167.79"/>
    <n v="235.97"/>
    <m/>
    <n v="4"/>
    <s v="Met"/>
    <x v="11"/>
    <n v="4"/>
    <x v="0"/>
  </r>
  <r>
    <s v="TXN-10838"/>
    <d v="2024-12-04T00:00:00"/>
    <x v="3"/>
    <s v="Nur Aina"/>
    <x v="3"/>
    <s v="Automotive Parts"/>
    <n v="1500.05"/>
    <n v="1086.72"/>
    <n v="413.33"/>
    <m/>
    <n v="4"/>
    <s v="Met"/>
    <x v="11"/>
    <n v="4"/>
    <x v="0"/>
  </r>
  <r>
    <s v="TXN-10030"/>
    <d v="2024-10-03T00:00:00"/>
    <x v="2"/>
    <s v="Chong Kah Wei"/>
    <x v="4"/>
    <s v="Furniture"/>
    <n v="419.94"/>
    <n v="307.89"/>
    <n v="112.05"/>
    <m/>
    <n v="2"/>
    <s v="Missed"/>
    <x v="5"/>
    <n v="4"/>
    <x v="0"/>
  </r>
  <r>
    <s v="TXN-10232"/>
    <d v="2024-05-08T00:00:00"/>
    <x v="1"/>
    <s v="Nurul Huda"/>
    <x v="5"/>
    <s v="Electronics"/>
    <n v="830.34"/>
    <n v="637.04999999999995"/>
    <n v="193.29"/>
    <m/>
    <n v="5"/>
    <s v="Met"/>
    <x v="7"/>
    <n v="2"/>
    <x v="0"/>
  </r>
  <r>
    <s v="TXN-10028"/>
    <d v="2024-12-22T00:00:00"/>
    <x v="2"/>
    <s v="Sarah Lee"/>
    <x v="0"/>
    <s v="Apparel"/>
    <n v="1885.16"/>
    <n v="1340.44"/>
    <n v="544.72"/>
    <m/>
    <n v="3"/>
    <s v="Met"/>
    <x v="11"/>
    <n v="4"/>
    <x v="0"/>
  </r>
  <r>
    <s v="TXN-10960"/>
    <d v="2024-05-25T00:00:00"/>
    <x v="3"/>
    <s v="Kevin Lim"/>
    <x v="5"/>
    <s v="Furniture"/>
    <n v="3483.01"/>
    <n v="2121.6"/>
    <n v="1361.41"/>
    <m/>
    <n v="4"/>
    <s v="Met"/>
    <x v="7"/>
    <n v="2"/>
    <x v="0"/>
  </r>
  <r>
    <s v="TXN-10288"/>
    <d v="2024-07-31T00:00:00"/>
    <x v="4"/>
    <s v="Lim Pei Yi"/>
    <x v="2"/>
    <s v="Apparel"/>
    <n v="2903.79"/>
    <n v="2173.67"/>
    <n v="730.12"/>
    <m/>
    <n v="2"/>
    <s v="Missed"/>
    <x v="3"/>
    <n v="3"/>
    <x v="0"/>
  </r>
  <r>
    <s v="TXN-10730"/>
    <d v="2024-04-12T00:00:00"/>
    <x v="0"/>
    <s v="Noraini Yaakob"/>
    <x v="4"/>
    <s v="Grocery"/>
    <n v="2821.54"/>
    <n v="1987.46"/>
    <n v="834.08"/>
    <m/>
    <n v="4"/>
    <s v="Met"/>
    <x v="0"/>
    <n v="2"/>
    <x v="0"/>
  </r>
  <r>
    <s v="TXN-10933"/>
    <d v="2024-01-12T00:00:00"/>
    <x v="1"/>
    <s v="Uknown"/>
    <x v="2"/>
    <s v="Auto Parts"/>
    <n v="2736.32"/>
    <n v="2004.89"/>
    <n v="731.43"/>
    <n v="6"/>
    <n v="2"/>
    <s v="Met"/>
    <x v="1"/>
    <n v="1"/>
    <x v="1"/>
  </r>
  <r>
    <s v="TXN-10443"/>
    <d v="2024-11-17T00:00:00"/>
    <x v="1"/>
    <s v="Vikram Singh"/>
    <x v="2"/>
    <s v="Apparel"/>
    <n v="2379.4899999999998"/>
    <n v="1811.09"/>
    <n v="568.4"/>
    <m/>
    <n v="5"/>
    <s v="Met"/>
    <x v="8"/>
    <n v="4"/>
    <x v="0"/>
  </r>
  <r>
    <s v="TXN-10691"/>
    <d v="2024-06-14T00:00:00"/>
    <x v="0"/>
    <s v="Hock Seng"/>
    <x v="0"/>
    <s v="Groceries"/>
    <n v="1397.15"/>
    <n v="900.43"/>
    <n v="496.72"/>
    <m/>
    <n v="4"/>
    <s v="Met"/>
    <x v="4"/>
    <n v="2"/>
    <x v="0"/>
  </r>
  <r>
    <s v="TXN-10401"/>
    <d v="2024-02-02T00:00:00"/>
    <x v="0"/>
    <s v="Izzat Fikri"/>
    <x v="4"/>
    <s v="Automotive Parts"/>
    <n v="2273.66"/>
    <n v="1731.37"/>
    <n v="542.29"/>
    <m/>
    <n v="4"/>
    <s v="Met"/>
    <x v="10"/>
    <n v="1"/>
    <x v="0"/>
  </r>
  <r>
    <s v="TXN-10632"/>
    <d v="2024-09-12T00:00:00"/>
    <x v="1"/>
    <s v="Vikram Singh"/>
    <x v="4"/>
    <s v="Electronics"/>
    <n v="1347.22"/>
    <n v="852.43"/>
    <n v="494.79"/>
    <m/>
    <n v="5"/>
    <s v="Met"/>
    <x v="9"/>
    <n v="3"/>
    <x v="0"/>
  </r>
  <r>
    <s v="TXN-10471"/>
    <d v="2024-06-18T00:00:00"/>
    <x v="2"/>
    <s v="Chong Kah Wei"/>
    <x v="0"/>
    <s v="Groceries"/>
    <n v="2854.36"/>
    <n v="2234.11"/>
    <n v="620.25"/>
    <n v="8"/>
    <n v="1"/>
    <s v="Missed"/>
    <x v="4"/>
    <n v="2"/>
    <x v="1"/>
  </r>
  <r>
    <s v="TXN-10333"/>
    <d v="2024-10-08T00:00:00"/>
    <x v="4"/>
    <s v="Brandon Ong"/>
    <x v="5"/>
    <s v="Furniture"/>
    <n v="3392.46"/>
    <n v="1866.57"/>
    <n v="1525.89"/>
    <n v="1"/>
    <n v="2"/>
    <s v="Met"/>
    <x v="5"/>
    <n v="4"/>
    <x v="1"/>
  </r>
  <r>
    <s v="TXN-10310"/>
    <d v="2024-03-13T00:00:00"/>
    <x v="1"/>
    <s v="Farhana Ismail"/>
    <x v="5"/>
    <s v="Apparel"/>
    <n v="1702.99"/>
    <n v="1211.72"/>
    <n v="491.27"/>
    <m/>
    <n v="5"/>
    <s v="Met"/>
    <x v="6"/>
    <n v="1"/>
    <x v="0"/>
  </r>
  <r>
    <s v="TXN-10117"/>
    <d v="2024-04-05T00:00:00"/>
    <x v="3"/>
    <s v="Nur Aina"/>
    <x v="3"/>
    <s v="Apparel"/>
    <n v="3287.64"/>
    <n v="2598.9899999999998"/>
    <n v="688.65"/>
    <m/>
    <n v="5"/>
    <s v="Met"/>
    <x v="0"/>
    <n v="2"/>
    <x v="0"/>
  </r>
  <r>
    <s v="TXN-10699"/>
    <d v="2024-12-17T00:00:00"/>
    <x v="2"/>
    <s v="Chong Kah Wei"/>
    <x v="2"/>
    <s v="Groceries"/>
    <n v="1673.22"/>
    <n v="1350.21"/>
    <n v="323.01"/>
    <n v="12"/>
    <n v="3"/>
    <s v="Met"/>
    <x v="11"/>
    <n v="4"/>
    <x v="1"/>
  </r>
  <r>
    <s v="TXN-10736"/>
    <d v="2024-04-03T00:00:00"/>
    <x v="2"/>
    <s v="Chong Kah Wei"/>
    <x v="1"/>
    <s v="Furniture"/>
    <n v="2320.2600000000002"/>
    <n v="1797.64"/>
    <n v="522.62"/>
    <m/>
    <n v="4"/>
    <s v="Met"/>
    <x v="0"/>
    <n v="2"/>
    <x v="0"/>
  </r>
  <r>
    <s v="TXN-10485"/>
    <d v="2024-06-07T00:00:00"/>
    <x v="2"/>
    <s v="Amir Hakim"/>
    <x v="0"/>
    <s v="Automotive Parts"/>
    <n v="1597.87"/>
    <n v="1367.98"/>
    <n v="229.89"/>
    <n v="11"/>
    <n v="2"/>
    <s v="Met"/>
    <x v="4"/>
    <n v="2"/>
    <x v="1"/>
  </r>
  <r>
    <s v="TXN-10080"/>
    <d v="2024-07-07T00:00:00"/>
    <x v="0"/>
    <s v="Maya Devi"/>
    <x v="3"/>
    <s v="Electronics"/>
    <n v="3749.08"/>
    <n v="2872.03"/>
    <n v="877.05"/>
    <m/>
    <n v="4"/>
    <s v="Met"/>
    <x v="3"/>
    <n v="3"/>
    <x v="0"/>
  </r>
  <r>
    <s v="TXN-10106"/>
    <d v="2024-05-03T00:00:00"/>
    <x v="3"/>
    <s v="Aisha Rahman"/>
    <x v="3"/>
    <s v="Groceries"/>
    <n v="870.73"/>
    <n v="555.72"/>
    <n v="315.01"/>
    <m/>
    <n v="5"/>
    <s v="Met"/>
    <x v="7"/>
    <n v="2"/>
    <x v="0"/>
  </r>
  <r>
    <s v="TXN-10469"/>
    <d v="2024-01-05T00:00:00"/>
    <x v="1"/>
    <s v="Lee Jia Hui"/>
    <x v="4"/>
    <s v="Furniture"/>
    <n v="1884.23"/>
    <n v="1346.13"/>
    <n v="538.1"/>
    <n v="1"/>
    <n v="2"/>
    <s v="Missed"/>
    <x v="1"/>
    <n v="1"/>
    <x v="1"/>
  </r>
  <r>
    <s v="TXN-10367"/>
    <d v="2024-09-29T00:00:00"/>
    <x v="1"/>
    <s v="Syafiq Azman"/>
    <x v="5"/>
    <s v="Groceries"/>
    <n v="2422.33"/>
    <n v="1654.97"/>
    <n v="767.36"/>
    <m/>
    <n v="5"/>
    <s v="Met"/>
    <x v="9"/>
    <n v="3"/>
    <x v="0"/>
  </r>
  <r>
    <s v="TXN-10569"/>
    <d v="2024-10-04T00:00:00"/>
    <x v="3"/>
    <s v="Aisha Rahman"/>
    <x v="0"/>
    <s v="Furniture"/>
    <n v="506.66"/>
    <n v="305.5"/>
    <n v="201.16"/>
    <m/>
    <m/>
    <s v="Met"/>
    <x v="5"/>
    <n v="4"/>
    <x v="0"/>
  </r>
  <r>
    <s v="TXN-10059"/>
    <d v="2024-05-26T00:00:00"/>
    <x v="3"/>
    <s v="Raj Kumar"/>
    <x v="2"/>
    <s v="Apparel"/>
    <n v="2748.73"/>
    <n v="1669.93"/>
    <n v="1078.8"/>
    <n v="7"/>
    <n v="3"/>
    <s v="Met"/>
    <x v="7"/>
    <n v="2"/>
    <x v="1"/>
  </r>
  <r>
    <s v="TXN-10120"/>
    <d v="2024-04-30T00:00:00"/>
    <x v="4"/>
    <s v="Aina Sofea"/>
    <x v="1"/>
    <s v="Furniture"/>
    <n v="358.12"/>
    <n v="207.55"/>
    <n v="150.57"/>
    <n v="5"/>
    <n v="3"/>
    <s v="Met"/>
    <x v="0"/>
    <n v="2"/>
    <x v="1"/>
  </r>
  <r>
    <s v="TXN-10035"/>
    <d v="2024-01-14T00:00:00"/>
    <x v="2"/>
    <s v="Chong Kah Wei"/>
    <x v="4"/>
    <s v="Electronics"/>
    <n v="3261.77"/>
    <n v="2696.42"/>
    <n v="565.35"/>
    <m/>
    <n v="3"/>
    <s v="Met"/>
    <x v="1"/>
    <n v="1"/>
    <x v="0"/>
  </r>
  <r>
    <s v="TXN-10084"/>
    <d v="2024-04-02T00:00:00"/>
    <x v="4"/>
    <s v="Faisal Rashid"/>
    <x v="5"/>
    <s v="Furniture"/>
    <n v="3336.42"/>
    <n v="2120.0700000000002"/>
    <n v="1216.3499999999999"/>
    <m/>
    <n v="3"/>
    <s v="Met"/>
    <x v="0"/>
    <n v="2"/>
    <x v="0"/>
  </r>
  <r>
    <s v="TXN-10219"/>
    <d v="2024-01-31T00:00:00"/>
    <x v="2"/>
    <s v="Jasmine Wong"/>
    <x v="5"/>
    <s v="Electronics"/>
    <n v="3438.26"/>
    <n v="3045.46"/>
    <n v="392.8"/>
    <m/>
    <n v="5"/>
    <s v="Met"/>
    <x v="1"/>
    <n v="1"/>
    <x v="0"/>
  </r>
  <r>
    <s v="TXN-10566"/>
    <d v="2024-06-21T00:00:00"/>
    <x v="4"/>
    <s v="Uknown"/>
    <x v="3"/>
    <s v="Furniture"/>
    <n v="1637.31"/>
    <n v="1164.47"/>
    <n v="472.84"/>
    <m/>
    <n v="5"/>
    <s v="Missed"/>
    <x v="4"/>
    <n v="2"/>
    <x v="0"/>
  </r>
  <r>
    <s v="TXN-10932"/>
    <d v="2024-06-23T00:00:00"/>
    <x v="2"/>
    <s v="Sarah Lee"/>
    <x v="1"/>
    <s v="Groceries"/>
    <n v="1970.62"/>
    <n v="1460.49"/>
    <n v="510.13"/>
    <m/>
    <n v="2"/>
    <s v="Missed"/>
    <x v="4"/>
    <n v="2"/>
    <x v="0"/>
  </r>
  <r>
    <s v="TXN-10513"/>
    <d v="2024-02-21T00:00:00"/>
    <x v="0"/>
    <s v="Tan Chee Keong"/>
    <x v="1"/>
    <s v="Automotive Parts"/>
    <n v="2609.83"/>
    <n v="1627.14"/>
    <n v="982.69"/>
    <m/>
    <n v="5"/>
    <s v="Met"/>
    <x v="10"/>
    <n v="1"/>
    <x v="0"/>
  </r>
  <r>
    <s v="TXN-10307"/>
    <d v="2024-01-17T00:00:00"/>
    <x v="2"/>
    <s v="Zulkifli Hassan"/>
    <x v="0"/>
    <s v="Electronics"/>
    <n v="1518.77"/>
    <n v="1386.85"/>
    <n v="131.91999999999999"/>
    <m/>
    <n v="5"/>
    <s v="Missed"/>
    <x v="1"/>
    <n v="1"/>
    <x v="0"/>
  </r>
  <r>
    <s v="TXN-10898"/>
    <d v="2024-09-10T00:00:00"/>
    <x v="3"/>
    <s v="Daniel Tan"/>
    <x v="2"/>
    <s v="Electronics"/>
    <n v="2892.63"/>
    <n v="2141.69"/>
    <n v="750.94"/>
    <m/>
    <n v="4"/>
    <s v="Met"/>
    <x v="9"/>
    <n v="3"/>
    <x v="0"/>
  </r>
  <r>
    <s v="TXN-10136"/>
    <d v="2024-09-26T00:00:00"/>
    <x v="2"/>
    <s v="Uknown"/>
    <x v="0"/>
    <s v="Electronics"/>
    <n v="1368.01"/>
    <n v="1196.8499999999999"/>
    <n v="171.16"/>
    <m/>
    <n v="4"/>
    <s v="Met"/>
    <x v="9"/>
    <n v="3"/>
    <x v="0"/>
  </r>
  <r>
    <s v="TXN-10711"/>
    <d v="2024-06-20T00:00:00"/>
    <x v="0"/>
    <s v="Maya Devi"/>
    <x v="4"/>
    <s v="Electronics"/>
    <n v="4003.73"/>
    <n v="2886.04"/>
    <n v="1117.69"/>
    <m/>
    <n v="5"/>
    <s v="Met"/>
    <x v="4"/>
    <n v="2"/>
    <x v="0"/>
  </r>
  <r>
    <s v="TXN-10619"/>
    <d v="2024-08-24T00:00:00"/>
    <x v="4"/>
    <s v="Chen Mei Ling"/>
    <x v="2"/>
    <s v="Automotive Parts"/>
    <n v="1978.53"/>
    <n v="1274.1600000000001"/>
    <n v="704.37"/>
    <n v="9"/>
    <n v="2"/>
    <s v="Met"/>
    <x v="2"/>
    <n v="3"/>
    <x v="1"/>
  </r>
  <r>
    <s v="TXN-10101"/>
    <d v="2024-06-04T00:00:00"/>
    <x v="3"/>
    <s v="Kevin Lim"/>
    <x v="5"/>
    <s v="Groceries"/>
    <n v="701.6"/>
    <n v="442.47"/>
    <n v="259.13"/>
    <m/>
    <n v="5"/>
    <s v="Met"/>
    <x v="4"/>
    <n v="2"/>
    <x v="0"/>
  </r>
  <r>
    <s v="TXN-10790"/>
    <d v="2024-05-24T00:00:00"/>
    <x v="0"/>
    <s v="Tan Chee Keong"/>
    <x v="2"/>
    <s v="Groceries"/>
    <n v="2446.79"/>
    <n v="1582.32"/>
    <n v="864.47"/>
    <m/>
    <n v="4"/>
    <s v="Met"/>
    <x v="7"/>
    <n v="2"/>
    <x v="0"/>
  </r>
  <r>
    <s v="TXN-10519"/>
    <d v="2024-09-14T00:00:00"/>
    <x v="3"/>
    <s v="Wei Jian"/>
    <x v="2"/>
    <s v="Furniture"/>
    <n v="3467.62"/>
    <n v="2014.22"/>
    <n v="1453.4"/>
    <m/>
    <n v="4"/>
    <s v="Met"/>
    <x v="9"/>
    <n v="3"/>
    <x v="0"/>
  </r>
  <r>
    <s v="TXN-10074"/>
    <d v="2024-07-31T00:00:00"/>
    <x v="0"/>
    <s v="Maya Devi"/>
    <x v="3"/>
    <s v="Groceries"/>
    <n v="1065.1099999999999"/>
    <n v="786.83"/>
    <n v="278.27999999999997"/>
    <m/>
    <n v="5"/>
    <s v="Met"/>
    <x v="3"/>
    <n v="3"/>
    <x v="0"/>
  </r>
  <r>
    <s v="TXN-10463"/>
    <d v="2024-06-10T00:00:00"/>
    <x v="4"/>
    <s v="Nabilah Yusof"/>
    <x v="3"/>
    <s v="Groceries"/>
    <n v="167.28"/>
    <n v="100.14"/>
    <n v="67.14"/>
    <m/>
    <n v="5"/>
    <s v="Met"/>
    <x v="4"/>
    <n v="2"/>
    <x v="0"/>
  </r>
  <r>
    <s v="TXN-10919"/>
    <d v="2024-10-11T00:00:00"/>
    <x v="4"/>
    <s v="Brandon Ong"/>
    <x v="1"/>
    <s v="Groceries"/>
    <n v="3110.83"/>
    <n v="2123.81"/>
    <n v="987.02"/>
    <m/>
    <n v="5"/>
    <s v="Met"/>
    <x v="5"/>
    <n v="4"/>
    <x v="0"/>
  </r>
  <r>
    <s v="TXN-10617"/>
    <d v="2024-09-14T00:00:00"/>
    <x v="2"/>
    <s v="Muthu Kannan"/>
    <x v="4"/>
    <s v="Automotive Parts"/>
    <n v="2378.84"/>
    <n v="2067.58"/>
    <n v="311.26"/>
    <m/>
    <n v="3"/>
    <s v="Met"/>
    <x v="9"/>
    <n v="3"/>
    <x v="0"/>
  </r>
  <r>
    <s v="TXN-10132"/>
    <d v="2024-07-08T00:00:00"/>
    <x v="0"/>
    <s v="Tan Chee Keong"/>
    <x v="4"/>
    <s v="Automotive Parts"/>
    <n v="1198.29"/>
    <n v="672.75"/>
    <n v="525.54"/>
    <m/>
    <m/>
    <s v="Met"/>
    <x v="3"/>
    <n v="3"/>
    <x v="0"/>
  </r>
  <r>
    <s v="TXN-10335"/>
    <d v="2024-08-21T00:00:00"/>
    <x v="2"/>
    <s v="Chong Kah Wei"/>
    <x v="1"/>
    <s v="Apparel"/>
    <n v="3143.5"/>
    <n v="2681.36"/>
    <n v="462.14"/>
    <m/>
    <n v="4"/>
    <s v="Met"/>
    <x v="2"/>
    <n v="3"/>
    <x v="0"/>
  </r>
  <r>
    <s v="TXN-10794"/>
    <d v="2024-12-03T00:00:00"/>
    <x v="4"/>
    <s v="Goh Wen Xin"/>
    <x v="2"/>
    <s v="Automotive Parts"/>
    <n v="1437.37"/>
    <n v="976.51"/>
    <n v="460.86"/>
    <m/>
    <n v="4"/>
    <s v="Met"/>
    <x v="11"/>
    <n v="4"/>
    <x v="1"/>
  </r>
  <r>
    <s v="TXN-10395"/>
    <d v="2024-11-16T00:00:00"/>
    <x v="1"/>
    <s v="Michelle Tan"/>
    <x v="5"/>
    <s v="Apparel"/>
    <n v="1293.21"/>
    <n v="742.74"/>
    <n v="550.47"/>
    <m/>
    <n v="2"/>
    <s v="Missed"/>
    <x v="8"/>
    <n v="4"/>
    <x v="0"/>
  </r>
  <r>
    <s v="TXN-10822"/>
    <d v="2024-03-19T00:00:00"/>
    <x v="3"/>
    <s v="Raj Kumar"/>
    <x v="0"/>
    <s v="Apparel"/>
    <n v="3347.31"/>
    <n v="1956.23"/>
    <n v="1391.08"/>
    <m/>
    <n v="5"/>
    <s v="Missed"/>
    <x v="6"/>
    <n v="1"/>
    <x v="0"/>
  </r>
  <r>
    <s v="TXN-10791"/>
    <d v="2024-03-30T00:00:00"/>
    <x v="2"/>
    <s v="Zulkifli Hassan"/>
    <x v="4"/>
    <s v="Groceries"/>
    <n v="3376.18"/>
    <n v="2651.85"/>
    <n v="724.33"/>
    <m/>
    <n v="2"/>
    <s v="Met"/>
    <x v="6"/>
    <n v="1"/>
    <x v="0"/>
  </r>
  <r>
    <s v="TXN-10489"/>
    <d v="2024-08-24T00:00:00"/>
    <x v="3"/>
    <s v="Kevin Lim"/>
    <x v="1"/>
    <s v="Apparel"/>
    <n v="1426.87"/>
    <n v="1050.8699999999999"/>
    <n v="376"/>
    <m/>
    <n v="5"/>
    <s v="Missed"/>
    <x v="2"/>
    <n v="3"/>
    <x v="1"/>
  </r>
  <r>
    <s v="TXN-10701"/>
    <d v="2024-05-09T00:00:00"/>
    <x v="3"/>
    <s v="Aisha Rahman"/>
    <x v="2"/>
    <s v="Apparrel"/>
    <n v="1576.1"/>
    <n v="1132.82"/>
    <n v="443.28"/>
    <m/>
    <n v="4"/>
    <s v="Missed"/>
    <x v="7"/>
    <n v="2"/>
    <x v="0"/>
  </r>
  <r>
    <s v="TXN-10377"/>
    <d v="2024-03-11T00:00:00"/>
    <x v="1"/>
    <s v="Syafiq Azman"/>
    <x v="6"/>
    <s v="Apparel"/>
    <n v="817.51"/>
    <n v="619.73"/>
    <n v="197.78"/>
    <m/>
    <n v="5"/>
    <s v="Met"/>
    <x v="6"/>
    <n v="1"/>
    <x v="0"/>
  </r>
  <r>
    <s v="TXN-10618"/>
    <d v="2024-02-20T00:00:00"/>
    <x v="0"/>
    <s v="Izzat Fikri"/>
    <x v="3"/>
    <s v="Furniture"/>
    <n v="3141.66"/>
    <n v="2450.65"/>
    <n v="691.01"/>
    <n v="6"/>
    <n v="4"/>
    <s v="Missed"/>
    <x v="10"/>
    <n v="1"/>
    <x v="1"/>
  </r>
  <r>
    <s v="TXN-10505"/>
    <d v="2024-12-14T00:00:00"/>
    <x v="4"/>
    <s v="Goh Wen Xin"/>
    <x v="2"/>
    <s v="Furniture"/>
    <n v="643.67999999999995"/>
    <n v="393.84"/>
    <n v="249.84"/>
    <n v="11"/>
    <n v="3"/>
    <s v="Met"/>
    <x v="11"/>
    <n v="4"/>
    <x v="1"/>
  </r>
  <r>
    <s v="TXN-10530"/>
    <d v="2024-12-02T00:00:00"/>
    <x v="2"/>
    <s v="Muthu Kannan"/>
    <x v="1"/>
    <s v="Furniture"/>
    <n v="2320.0300000000002"/>
    <n v="1885.06"/>
    <n v="434.97"/>
    <m/>
    <n v="5"/>
    <s v="Met"/>
    <x v="11"/>
    <n v="4"/>
    <x v="0"/>
  </r>
  <r>
    <s v="TXN-10977"/>
    <d v="2024-02-25T00:00:00"/>
    <x v="2"/>
    <s v="Jasmine Wong"/>
    <x v="1"/>
    <s v="Automotive Parts"/>
    <n v="1099.6500000000001"/>
    <n v="955.98"/>
    <n v="143.66999999999999"/>
    <n v="13"/>
    <n v="3"/>
    <s v="Met"/>
    <x v="10"/>
    <n v="1"/>
    <x v="1"/>
  </r>
  <r>
    <s v="TXN-10955"/>
    <d v="2024-08-14T00:00:00"/>
    <x v="1"/>
    <s v="Eddy Chong"/>
    <x v="0"/>
    <s v="Automotive Parts"/>
    <n v="2300.9499999999998"/>
    <n v="1626.18"/>
    <n v="674.77"/>
    <m/>
    <n v="4"/>
    <s v="Missed"/>
    <x v="2"/>
    <n v="3"/>
    <x v="0"/>
  </r>
  <r>
    <s v="TXN-10185"/>
    <d v="2024-10-29T00:00:00"/>
    <x v="4"/>
    <s v="Goh Wen Xin"/>
    <x v="1"/>
    <s v="Apparel"/>
    <n v="244.49"/>
    <n v="177.29"/>
    <n v="67.2"/>
    <m/>
    <n v="5"/>
    <s v="Met"/>
    <x v="5"/>
    <n v="4"/>
    <x v="0"/>
  </r>
  <r>
    <s v="TXN-10226"/>
    <d v="2024-08-18T00:00:00"/>
    <x v="1"/>
    <s v="Uknown"/>
    <x v="5"/>
    <s v="Apparel"/>
    <n v="1682.25"/>
    <n v="1173.08"/>
    <n v="509.17"/>
    <m/>
    <n v="4"/>
    <s v="Met"/>
    <x v="2"/>
    <n v="3"/>
    <x v="1"/>
  </r>
  <r>
    <s v="TXN-10475"/>
    <d v="2024-09-07T00:00:00"/>
    <x v="2"/>
    <s v="Amir Hakim"/>
    <x v="2"/>
    <s v="Automotive Parts"/>
    <n v="850.95"/>
    <n v="610.91"/>
    <n v="240.04"/>
    <m/>
    <n v="3"/>
    <s v="Missed"/>
    <x v="9"/>
    <n v="3"/>
    <x v="0"/>
  </r>
  <r>
    <s v="TXN-10733"/>
    <d v="2024-08-16T00:00:00"/>
    <x v="4"/>
    <s v="Brandon Ong"/>
    <x v="4"/>
    <s v="Automotive Parts"/>
    <n v="2653.37"/>
    <n v="1601.85"/>
    <n v="1051.52"/>
    <m/>
    <n v="4"/>
    <s v="Met"/>
    <x v="2"/>
    <n v="3"/>
    <x v="0"/>
  </r>
  <r>
    <s v="TXN-10886"/>
    <d v="2024-07-22T00:00:00"/>
    <x v="0"/>
    <s v="Noraini Yaakob"/>
    <x v="3"/>
    <s v="Groceries"/>
    <n v="2775.48"/>
    <n v="2125.0300000000002"/>
    <n v="650.45000000000005"/>
    <n v="7"/>
    <n v="3"/>
    <s v="Met"/>
    <x v="3"/>
    <n v="3"/>
    <x v="1"/>
  </r>
  <r>
    <s v="TXN-10628"/>
    <d v="2024-04-28T00:00:00"/>
    <x v="0"/>
    <s v="Tan Chee Keong"/>
    <x v="1"/>
    <s v="Groceries"/>
    <n v="3437.45"/>
    <n v="2585.44"/>
    <n v="852.01"/>
    <n v="7"/>
    <n v="4"/>
    <s v="Met"/>
    <x v="0"/>
    <n v="2"/>
    <x v="1"/>
  </r>
  <r>
    <s v="TXN-10025"/>
    <d v="2024-05-31T00:00:00"/>
    <x v="0"/>
    <s v="Karthik Selvam"/>
    <x v="4"/>
    <s v="Furniture"/>
    <n v="2007.28"/>
    <n v="1200.27"/>
    <n v="807.01"/>
    <m/>
    <n v="5"/>
    <s v="Met"/>
    <x v="7"/>
    <n v="2"/>
    <x v="0"/>
  </r>
  <r>
    <s v="TXN-10014"/>
    <d v="2024-03-20T00:00:00"/>
    <x v="1"/>
    <s v="Eddy Chong"/>
    <x v="1"/>
    <s v="Apparel"/>
    <n v="786.16"/>
    <n v="475.17"/>
    <n v="310.99"/>
    <m/>
    <n v="5"/>
    <s v="Missed"/>
    <x v="6"/>
    <n v="1"/>
    <x v="0"/>
  </r>
  <r>
    <s v="TXN-10353"/>
    <d v="2024-02-02T00:00:00"/>
    <x v="1"/>
    <s v="Nurul Huda"/>
    <x v="0"/>
    <s v="Apparel"/>
    <n v="2889.63"/>
    <n v="1666.11"/>
    <n v="1223.52"/>
    <m/>
    <n v="2"/>
    <s v="Missed"/>
    <x v="10"/>
    <n v="1"/>
    <x v="0"/>
  </r>
  <r>
    <s v="TXN-10038"/>
    <d v="2024-06-21T00:00:00"/>
    <x v="1"/>
    <s v="Lee Jia Hui"/>
    <x v="2"/>
    <s v="Groceries"/>
    <n v="246.14"/>
    <n v="187.74"/>
    <n v="58.4"/>
    <m/>
    <n v="4"/>
    <s v="Missed"/>
    <x v="4"/>
    <n v="2"/>
    <x v="0"/>
  </r>
  <r>
    <s v="TXN-10796"/>
    <d v="2024-04-19T00:00:00"/>
    <x v="2"/>
    <s v="Priya Devi"/>
    <x v="1"/>
    <s v="Electronics"/>
    <n v="1180.33"/>
    <n v="843.38"/>
    <n v="336.95"/>
    <m/>
    <n v="4"/>
    <s v="Met"/>
    <x v="0"/>
    <n v="2"/>
    <x v="0"/>
  </r>
  <r>
    <s v="TXN-10777"/>
    <d v="2024-06-22T00:00:00"/>
    <x v="3"/>
    <s v="Wei Jian"/>
    <x v="1"/>
    <s v="Groceries"/>
    <n v="974.84"/>
    <n v="570.62"/>
    <n v="404.22"/>
    <m/>
    <n v="4"/>
    <s v="Met"/>
    <x v="4"/>
    <n v="2"/>
    <x v="0"/>
  </r>
  <r>
    <s v="TXN-10881"/>
    <d v="2024-03-31T00:00:00"/>
    <x v="2"/>
    <s v="Priya Devi"/>
    <x v="5"/>
    <s v="Electronics"/>
    <n v="259.49"/>
    <n v="198.28"/>
    <n v="61.21"/>
    <m/>
    <n v="5"/>
    <s v="Met"/>
    <x v="6"/>
    <n v="1"/>
    <x v="0"/>
  </r>
  <r>
    <s v="TXN-10450"/>
    <d v="2024-11-12T00:00:00"/>
    <x v="1"/>
    <s v="Vikram Singh"/>
    <x v="5"/>
    <s v="Electronics"/>
    <n v="2977.52"/>
    <n v="2350.23"/>
    <n v="627.29"/>
    <m/>
    <n v="1"/>
    <s v="Met"/>
    <x v="8"/>
    <n v="4"/>
    <x v="0"/>
  </r>
  <r>
    <s v="TXN-10493"/>
    <d v="2024-04-16T00:00:00"/>
    <x v="1"/>
    <s v="Anand Raj"/>
    <x v="1"/>
    <s v="Electronics"/>
    <n v="3280"/>
    <n v="2127.9499999999998"/>
    <n v="1152.05"/>
    <n v="6"/>
    <n v="2"/>
    <s v="Missed"/>
    <x v="0"/>
    <n v="2"/>
    <x v="1"/>
  </r>
  <r>
    <s v="TXN-10843"/>
    <d v="2024-04-03T00:00:00"/>
    <x v="2"/>
    <s v="Amir Hakim"/>
    <x v="3"/>
    <s v="Electronics"/>
    <n v="898.47"/>
    <n v="800.02"/>
    <n v="98.45"/>
    <n v="4"/>
    <n v="1"/>
    <s v="Missed"/>
    <x v="0"/>
    <n v="2"/>
    <x v="1"/>
  </r>
  <r>
    <s v="TXN-10531"/>
    <d v="2024-11-23T00:00:00"/>
    <x v="1"/>
    <s v="Lee Jia Hui"/>
    <x v="3"/>
    <s v="Electronics"/>
    <n v="702.67"/>
    <n v="523.15"/>
    <n v="179.52"/>
    <m/>
    <n v="1"/>
    <s v="Met"/>
    <x v="8"/>
    <n v="4"/>
    <x v="0"/>
  </r>
  <r>
    <s v="TXN-10472"/>
    <d v="2024-05-25T00:00:00"/>
    <x v="3"/>
    <s v="Farah Aziz"/>
    <x v="5"/>
    <s v="Electronics"/>
    <n v="733.39"/>
    <n v="565.70000000000005"/>
    <n v="167.69"/>
    <m/>
    <n v="3"/>
    <s v="Missed"/>
    <x v="7"/>
    <n v="2"/>
    <x v="0"/>
  </r>
  <r>
    <s v="TXN-10726"/>
    <d v="2024-09-17T00:00:00"/>
    <x v="2"/>
    <s v="Chong Kah Wei"/>
    <x v="3"/>
    <s v="Electronics"/>
    <n v="2256.3000000000002"/>
    <n v="1611.95"/>
    <n v="644.35"/>
    <m/>
    <n v="5"/>
    <s v="Missed"/>
    <x v="9"/>
    <n v="3"/>
    <x v="0"/>
  </r>
  <r>
    <s v="TXN-10792"/>
    <d v="2024-06-29T00:00:00"/>
    <x v="0"/>
    <s v="Karthik Selvam"/>
    <x v="0"/>
    <s v="Apparel"/>
    <n v="847.14"/>
    <n v="551.87"/>
    <n v="295.27"/>
    <m/>
    <n v="5"/>
    <s v="Met"/>
    <x v="4"/>
    <n v="2"/>
    <x v="0"/>
  </r>
  <r>
    <s v="TXN-10601"/>
    <d v="2024-03-03T00:00:00"/>
    <x v="0"/>
    <s v="Maya Devi"/>
    <x v="3"/>
    <s v="Apparel"/>
    <n v="2974.3"/>
    <n v="2333.12"/>
    <n v="641.17999999999995"/>
    <n v="3"/>
    <n v="1"/>
    <s v="Met"/>
    <x v="6"/>
    <n v="1"/>
    <x v="1"/>
  </r>
  <r>
    <s v="TXN-10731"/>
    <d v="2024-12-27T00:00:00"/>
    <x v="0"/>
    <s v="Karthik Selvam"/>
    <x v="1"/>
    <s v="Automotive Parts"/>
    <n v="1781.59"/>
    <n v="1104.6500000000001"/>
    <n v="676.94"/>
    <n v="6"/>
    <n v="2"/>
    <s v="Met"/>
    <x v="11"/>
    <n v="4"/>
    <x v="1"/>
  </r>
  <r>
    <s v="TXN-10242"/>
    <d v="2024-04-23T00:00:00"/>
    <x v="1"/>
    <s v="Farhana Ismail"/>
    <x v="0"/>
    <s v="Electronics"/>
    <n v="2216.56"/>
    <n v="1359.16"/>
    <n v="857.4"/>
    <m/>
    <n v="5"/>
    <s v="Met"/>
    <x v="0"/>
    <n v="2"/>
    <x v="0"/>
  </r>
  <r>
    <s v="TXN-10831"/>
    <d v="2024-04-06T00:00:00"/>
    <x v="4"/>
    <s v="Lim Pei Yi"/>
    <x v="5"/>
    <s v="Groceries"/>
    <n v="936.64"/>
    <n v="620.04999999999995"/>
    <n v="316.58999999999997"/>
    <m/>
    <n v="5"/>
    <s v="Met"/>
    <x v="0"/>
    <n v="2"/>
    <x v="0"/>
  </r>
  <r>
    <s v="TXN-10083"/>
    <d v="2024-12-01T00:00:00"/>
    <x v="2"/>
    <s v="Jasmine Wong"/>
    <x v="4"/>
    <s v="Furniture"/>
    <n v="2489.91"/>
    <n v="1957.64"/>
    <n v="532.27"/>
    <n v="9"/>
    <n v="3"/>
    <s v="Met"/>
    <x v="11"/>
    <n v="4"/>
    <x v="1"/>
  </r>
  <r>
    <s v="TXN-10371"/>
    <d v="2024-04-03T00:00:00"/>
    <x v="2"/>
    <s v="Muthu Kannan"/>
    <x v="1"/>
    <s v="Groceries"/>
    <n v="3410.24"/>
    <n v="3016.88"/>
    <n v="393.36"/>
    <n v="12"/>
    <n v="1"/>
    <s v="Missed"/>
    <x v="0"/>
    <n v="2"/>
    <x v="1"/>
  </r>
  <r>
    <s v="TXN-10354"/>
    <d v="2024-04-19T00:00:00"/>
    <x v="1"/>
    <s v="Michelle Tan"/>
    <x v="2"/>
    <s v="Electronics"/>
    <n v="2710.16"/>
    <n v="1892.43"/>
    <n v="817.73"/>
    <n v="9"/>
    <n v="3"/>
    <s v="Met"/>
    <x v="0"/>
    <n v="2"/>
    <x v="1"/>
  </r>
  <r>
    <s v="TXN-10760"/>
    <d v="2024-08-13T00:00:00"/>
    <x v="3"/>
    <s v="Aisha Rahman"/>
    <x v="4"/>
    <s v="Groceries"/>
    <n v="3004.98"/>
    <n v="2083.46"/>
    <n v="921.52"/>
    <m/>
    <n v="5"/>
    <s v="Met"/>
    <x v="2"/>
    <n v="3"/>
    <x v="0"/>
  </r>
  <r>
    <s v="TXN-10440"/>
    <d v="2024-06-04T00:00:00"/>
    <x v="0"/>
    <s v="Wong Li Ting"/>
    <x v="1"/>
    <s v="Apparel"/>
    <n v="2567.1999999999998"/>
    <n v="1613.29"/>
    <n v="953.91"/>
    <n v="3"/>
    <n v="3"/>
    <s v="Met"/>
    <x v="4"/>
    <n v="2"/>
    <x v="1"/>
  </r>
  <r>
    <s v="TXN-10382"/>
    <d v="2024-09-26T00:00:00"/>
    <x v="1"/>
    <s v="Farhana Ismail"/>
    <x v="1"/>
    <s v="Apparel"/>
    <n v="2984.33"/>
    <n v="2173"/>
    <n v="811.33"/>
    <m/>
    <n v="3"/>
    <s v="Missed"/>
    <x v="9"/>
    <n v="3"/>
    <x v="0"/>
  </r>
  <r>
    <s v="TXN-10414"/>
    <d v="2024-07-15T00:00:00"/>
    <x v="0"/>
    <s v="Maya Devi"/>
    <x v="1"/>
    <s v="Electronics"/>
    <n v="3804.25"/>
    <n v="2336.02"/>
    <n v="1468.23"/>
    <m/>
    <n v="5"/>
    <s v="Met"/>
    <x v="3"/>
    <n v="3"/>
    <x v="0"/>
  </r>
  <r>
    <s v="TXN-10166"/>
    <d v="2024-10-10T00:00:00"/>
    <x v="4"/>
    <s v="Lim Pei Yi"/>
    <x v="1"/>
    <s v="Electronics"/>
    <n v="3250.24"/>
    <n v="2019.15"/>
    <n v="1231.0899999999999"/>
    <m/>
    <n v="4"/>
    <s v="Met"/>
    <x v="5"/>
    <n v="4"/>
    <x v="0"/>
  </r>
  <r>
    <s v="TXN-10804"/>
    <d v="2024-12-06T00:00:00"/>
    <x v="0"/>
    <s v="Roslan Ahmad"/>
    <x v="1"/>
    <s v="Automotive Parts"/>
    <n v="504.54"/>
    <n v="292.88"/>
    <n v="211.66"/>
    <m/>
    <n v="3"/>
    <s v="Missed"/>
    <x v="11"/>
    <n v="4"/>
    <x v="0"/>
  </r>
  <r>
    <s v="TXN-10908"/>
    <d v="2024-01-02T00:00:00"/>
    <x v="4"/>
    <s v="Lim Pei Yi"/>
    <x v="3"/>
    <s v="Electronics"/>
    <n v="1601.53"/>
    <n v="944.34"/>
    <n v="657.19"/>
    <m/>
    <n v="3"/>
    <s v="Missed"/>
    <x v="1"/>
    <n v="1"/>
    <x v="0"/>
  </r>
  <r>
    <s v="TXN-10746"/>
    <d v="2024-09-20T00:00:00"/>
    <x v="1"/>
    <s v="Farhana Ismail"/>
    <x v="0"/>
    <s v="Electronics"/>
    <n v="923.96"/>
    <n v="560.28"/>
    <n v="363.68"/>
    <m/>
    <n v="4"/>
    <s v="Met"/>
    <x v="9"/>
    <n v="3"/>
    <x v="0"/>
  </r>
  <r>
    <s v="TXN-10538"/>
    <d v="2024-03-01T00:00:00"/>
    <x v="2"/>
    <s v="Zulkifli Hassan"/>
    <x v="2"/>
    <s v="Automotive Parts"/>
    <n v="1121.72"/>
    <n v="904.43"/>
    <n v="217.29"/>
    <n v="13"/>
    <n v="5"/>
    <s v="Met"/>
    <x v="6"/>
    <n v="1"/>
    <x v="1"/>
  </r>
  <r>
    <s v="TXN-10134"/>
    <d v="2024-09-25T00:00:00"/>
    <x v="1"/>
    <s v="Eddy Chong"/>
    <x v="1"/>
    <s v="Automotive Parts"/>
    <n v="263.31"/>
    <n v="200.56"/>
    <n v="62.75"/>
    <m/>
    <n v="5"/>
    <s v="Missed"/>
    <x v="9"/>
    <n v="3"/>
    <x v="0"/>
  </r>
  <r>
    <s v="TXN-10713"/>
    <d v="2024-05-02T00:00:00"/>
    <x v="0"/>
    <s v="Tan Chee Keong"/>
    <x v="4"/>
    <s v="Apparel"/>
    <n v="736.96"/>
    <n v="577.99"/>
    <n v="158.97"/>
    <m/>
    <n v="5"/>
    <s v="Met"/>
    <x v="7"/>
    <n v="2"/>
    <x v="0"/>
  </r>
  <r>
    <s v="TXN-10345"/>
    <d v="2024-02-14T00:00:00"/>
    <x v="3"/>
    <s v="Farah Aziz"/>
    <x v="1"/>
    <s v="Automotive Parts"/>
    <n v="3019.08"/>
    <n v="1758.54"/>
    <n v="1260.54"/>
    <m/>
    <n v="4"/>
    <s v="Met"/>
    <x v="10"/>
    <n v="1"/>
    <x v="0"/>
  </r>
  <r>
    <s v="TXN-10077"/>
    <d v="2024-05-04T00:00:00"/>
    <x v="3"/>
    <s v="Daniel Tan"/>
    <x v="3"/>
    <s v="Apparel"/>
    <n v="1609.52"/>
    <n v="1046.3699999999999"/>
    <n v="563.15"/>
    <m/>
    <n v="4"/>
    <s v="Met"/>
    <x v="7"/>
    <n v="2"/>
    <x v="0"/>
  </r>
  <r>
    <s v="TXN-10159"/>
    <d v="2024-05-06T00:00:00"/>
    <x v="2"/>
    <s v="Amir Hakim"/>
    <x v="0"/>
    <s v="Apparel"/>
    <n v="2700.94"/>
    <n v="2292.48"/>
    <n v="408.46"/>
    <n v="12"/>
    <n v="2"/>
    <s v="Met"/>
    <x v="7"/>
    <n v="2"/>
    <x v="1"/>
  </r>
  <r>
    <s v="TXN-10073"/>
    <d v="2024-07-11T00:00:00"/>
    <x v="3"/>
    <s v="Raj Kumar"/>
    <x v="1"/>
    <s v="Groceries"/>
    <n v="1556.44"/>
    <n v="988.69"/>
    <n v="567.75"/>
    <m/>
    <n v="5"/>
    <s v="Met"/>
    <x v="3"/>
    <n v="3"/>
    <x v="0"/>
  </r>
  <r>
    <s v="TXN-10595"/>
    <d v="2024-10-27T00:00:00"/>
    <x v="0"/>
    <s v="Noraini Yaakob"/>
    <x v="5"/>
    <s v="Groceries"/>
    <n v="1193.81"/>
    <n v="893.6"/>
    <n v="300.20999999999998"/>
    <m/>
    <n v="4"/>
    <s v="Met"/>
    <x v="5"/>
    <n v="4"/>
    <x v="0"/>
  </r>
  <r>
    <s v="TXN-10885"/>
    <d v="2024-11-25T00:00:00"/>
    <x v="0"/>
    <s v="Izzat Fikri"/>
    <x v="3"/>
    <s v="Furniture"/>
    <n v="2388.6999999999998"/>
    <n v="1714.87"/>
    <n v="673.83"/>
    <m/>
    <n v="4"/>
    <s v="Missed"/>
    <x v="8"/>
    <n v="4"/>
    <x v="0"/>
  </r>
  <r>
    <s v="TXN-10604"/>
    <d v="2024-12-30T00:00:00"/>
    <x v="3"/>
    <s v="Kevin Lim"/>
    <x v="4"/>
    <s v="Apparel"/>
    <n v="427.36"/>
    <n v="294.72000000000003"/>
    <n v="132.63999999999999"/>
    <m/>
    <n v="3"/>
    <s v="Missed"/>
    <x v="11"/>
    <n v="4"/>
    <x v="0"/>
  </r>
  <r>
    <s v="TXN-10630"/>
    <d v="2024-01-13T00:00:00"/>
    <x v="1"/>
    <s v="Vikram Singh"/>
    <x v="6"/>
    <s v="Electronics"/>
    <n v="2257.54"/>
    <n v="1619.03"/>
    <n v="638.51"/>
    <n v="1"/>
    <n v="2"/>
    <s v="Met"/>
    <x v="1"/>
    <n v="1"/>
    <x v="1"/>
  </r>
  <r>
    <s v="TXN-10319"/>
    <d v="2024-01-04T00:00:00"/>
    <x v="1"/>
    <s v="Anand Raj"/>
    <x v="2"/>
    <s v="Furniture"/>
    <n v="531.35"/>
    <n v="336.51"/>
    <n v="194.84"/>
    <m/>
    <n v="2"/>
    <s v="Missed"/>
    <x v="1"/>
    <n v="1"/>
    <x v="0"/>
  </r>
  <r>
    <s v="TXN-10864"/>
    <d v="2024-05-30T00:00:00"/>
    <x v="1"/>
    <s v="Lee Jia Hui"/>
    <x v="4"/>
    <s v="Furniture"/>
    <n v="624.47"/>
    <n v="411.51"/>
    <n v="212.96"/>
    <m/>
    <n v="4"/>
    <s v="Missed"/>
    <x v="7"/>
    <n v="2"/>
    <x v="0"/>
  </r>
  <r>
    <s v="TXN-10402"/>
    <d v="2024-08-11T00:00:00"/>
    <x v="0"/>
    <s v="Tan Chee Keong"/>
    <x v="3"/>
    <s v="Groceries"/>
    <n v="1563.76"/>
    <n v="1214.1300000000001"/>
    <n v="349.63"/>
    <n v="5"/>
    <n v="4"/>
    <s v="Met"/>
    <x v="2"/>
    <n v="3"/>
    <x v="1"/>
  </r>
  <r>
    <s v="TXN-10268"/>
    <d v="2024-09-12T00:00:00"/>
    <x v="0"/>
    <s v="Wong Li Ting"/>
    <x v="5"/>
    <s v="Electronics"/>
    <n v="938.34"/>
    <n v="664.03"/>
    <n v="274.31"/>
    <m/>
    <n v="4"/>
    <s v="Met"/>
    <x v="9"/>
    <n v="3"/>
    <x v="0"/>
  </r>
  <r>
    <s v="TXN-10283"/>
    <d v="2024-03-19T00:00:00"/>
    <x v="3"/>
    <s v="Farah Aziz"/>
    <x v="5"/>
    <s v="Furniture"/>
    <n v="2499.4499999999998"/>
    <n v="1869.26"/>
    <n v="630.19000000000005"/>
    <m/>
    <n v="4"/>
    <s v="Met"/>
    <x v="6"/>
    <n v="1"/>
    <x v="0"/>
  </r>
  <r>
    <s v="TXN-10902"/>
    <d v="2024-10-28T00:00:00"/>
    <x v="3"/>
    <s v="Raj Kumar"/>
    <x v="6"/>
    <s v="Electronics"/>
    <n v="255.28"/>
    <n v="143.12"/>
    <n v="112.16"/>
    <m/>
    <n v="3"/>
    <s v="Met"/>
    <x v="5"/>
    <n v="4"/>
    <x v="0"/>
  </r>
  <r>
    <s v="TXN-10543"/>
    <d v="2024-09-18T00:00:00"/>
    <x v="0"/>
    <s v="Maya Devi"/>
    <x v="0"/>
    <s v="Groceries"/>
    <n v="775.98"/>
    <n v="481.33"/>
    <n v="294.64999999999998"/>
    <m/>
    <n v="4"/>
    <s v="Met"/>
    <x v="9"/>
    <n v="3"/>
    <x v="0"/>
  </r>
  <r>
    <s v="TXN-10657"/>
    <d v="2024-03-25T00:00:00"/>
    <x v="4"/>
    <s v="Faisal Rashid"/>
    <x v="5"/>
    <s v="Furniture"/>
    <n v="547.15"/>
    <n v="338.39"/>
    <n v="208.76"/>
    <m/>
    <n v="5"/>
    <s v="Met"/>
    <x v="6"/>
    <n v="1"/>
    <x v="0"/>
  </r>
  <r>
    <s v="TXN-10050"/>
    <d v="2024-05-02T00:00:00"/>
    <x v="3"/>
    <s v="Aisha Rahman"/>
    <x v="1"/>
    <s v="Groceries"/>
    <n v="2527.77"/>
    <n v="1586.65"/>
    <n v="941.12"/>
    <m/>
    <n v="5"/>
    <s v="Met"/>
    <x v="7"/>
    <n v="2"/>
    <x v="0"/>
  </r>
  <r>
    <s v="TXN-10621"/>
    <d v="2024-05-28T00:00:00"/>
    <x v="3"/>
    <s v="Aisha Rahman"/>
    <x v="4"/>
    <s v="Groceries"/>
    <n v="2044.24"/>
    <n v="1477.27"/>
    <n v="566.97"/>
    <n v="1"/>
    <n v="3"/>
    <s v="Met"/>
    <x v="7"/>
    <n v="2"/>
    <x v="1"/>
  </r>
  <r>
    <s v="TXN-10930"/>
    <d v="2024-07-23T00:00:00"/>
    <x v="2"/>
    <s v="Jasmine Wong"/>
    <x v="2"/>
    <s v="Groceries"/>
    <n v="1047.1300000000001"/>
    <n v="768.67"/>
    <n v="278.45999999999998"/>
    <n v="11"/>
    <n v="2"/>
    <s v="Missed"/>
    <x v="3"/>
    <n v="3"/>
    <x v="1"/>
  </r>
  <r>
    <s v="TXN-10341"/>
    <d v="2024-11-22T00:00:00"/>
    <x v="0"/>
    <s v="Wong Li Ting"/>
    <x v="0"/>
    <s v="Groceries"/>
    <n v="710.4"/>
    <n v="493.33"/>
    <n v="217.07"/>
    <n v="2"/>
    <n v="1"/>
    <s v="Met"/>
    <x v="8"/>
    <n v="4"/>
    <x v="1"/>
  </r>
  <r>
    <s v="TXN-10113"/>
    <d v="2024-05-06T00:00:00"/>
    <x v="4"/>
    <s v="Aina Sofea"/>
    <x v="2"/>
    <s v="Groceries"/>
    <n v="1084.67"/>
    <n v="677.51"/>
    <n v="407.16"/>
    <m/>
    <n v="5"/>
    <s v="Met"/>
    <x v="7"/>
    <n v="2"/>
    <x v="0"/>
  </r>
  <r>
    <s v="TXN-10142"/>
    <d v="2024-08-17T00:00:00"/>
    <x v="2"/>
    <s v="Jasmine Wong"/>
    <x v="5"/>
    <s v="Electronics"/>
    <n v="2881.44"/>
    <n v="2082.4899999999998"/>
    <n v="798.95"/>
    <n v="11"/>
    <n v="1"/>
    <s v="Missed"/>
    <x v="2"/>
    <n v="3"/>
    <x v="1"/>
  </r>
  <r>
    <s v="TXN-10434"/>
    <d v="2024-05-13T00:00:00"/>
    <x v="3"/>
    <s v="Aisha Rahman"/>
    <x v="5"/>
    <s v="Furniture"/>
    <n v="1346.1"/>
    <n v="793.73"/>
    <n v="552.37"/>
    <m/>
    <n v="3"/>
    <s v="Met"/>
    <x v="7"/>
    <n v="2"/>
    <x v="0"/>
  </r>
  <r>
    <s v="TXN-10436"/>
    <d v="2024-02-23T00:00:00"/>
    <x v="3"/>
    <s v="Kevin Lim"/>
    <x v="2"/>
    <s v="Electronics"/>
    <n v="709.61"/>
    <n v="411.23"/>
    <n v="298.38"/>
    <m/>
    <n v="4"/>
    <s v="Met"/>
    <x v="10"/>
    <n v="1"/>
    <x v="0"/>
  </r>
  <r>
    <s v="TXN-10398"/>
    <d v="2024-11-15T00:00:00"/>
    <x v="1"/>
    <s v="Farhana Ismail"/>
    <x v="3"/>
    <s v="Apparel"/>
    <n v="2638.67"/>
    <n v="1511.93"/>
    <n v="1126.74"/>
    <m/>
    <n v="4"/>
    <s v="Met"/>
    <x v="8"/>
    <n v="4"/>
    <x v="0"/>
  </r>
  <r>
    <s v="TXN-10375"/>
    <d v="2024-07-03T00:00:00"/>
    <x v="1"/>
    <s v="Anand Raj"/>
    <x v="5"/>
    <s v="Automotive Parts"/>
    <n v="1481.82"/>
    <n v="1080.23"/>
    <n v="401.59"/>
    <m/>
    <n v="4"/>
    <s v="Met"/>
    <x v="3"/>
    <n v="3"/>
    <x v="0"/>
  </r>
  <r>
    <s v="TXN-10958"/>
    <d v="2024-02-10T00:00:00"/>
    <x v="3"/>
    <s v="Farah Aziz"/>
    <x v="3"/>
    <s v="Groceries"/>
    <n v="1705.25"/>
    <n v="1025.25"/>
    <n v="680"/>
    <m/>
    <n v="3"/>
    <s v="Met"/>
    <x v="10"/>
    <n v="1"/>
    <x v="0"/>
  </r>
  <r>
    <s v="TXN-10305"/>
    <d v="2024-06-12T00:00:00"/>
    <x v="4"/>
    <s v="Chen Mei Ling"/>
    <x v="0"/>
    <s v="Apparrel"/>
    <n v="3098.44"/>
    <n v="2024.86"/>
    <n v="1073.58"/>
    <m/>
    <n v="5"/>
    <s v="Met"/>
    <x v="4"/>
    <n v="2"/>
    <x v="0"/>
  </r>
  <r>
    <s v="TXN-10640"/>
    <d v="2024-03-13T00:00:00"/>
    <x v="4"/>
    <s v="Uknown"/>
    <x v="1"/>
    <s v="Apparel"/>
    <n v="270.16000000000003"/>
    <n v="164.47"/>
    <n v="105.69"/>
    <m/>
    <n v="3"/>
    <s v="Met"/>
    <x v="6"/>
    <n v="1"/>
    <x v="0"/>
  </r>
  <r>
    <s v="TXN-10438"/>
    <d v="2024-03-11T00:00:00"/>
    <x v="1"/>
    <s v="Anand Raj"/>
    <x v="3"/>
    <s v="Apparel"/>
    <n v="2835.93"/>
    <n v="1852.86"/>
    <n v="983.07"/>
    <m/>
    <n v="4"/>
    <s v="Met"/>
    <x v="6"/>
    <n v="1"/>
    <x v="0"/>
  </r>
  <r>
    <s v="TXN-10950"/>
    <d v="2024-10-14T00:00:00"/>
    <x v="1"/>
    <s v="Syafiq Azman"/>
    <x v="0"/>
    <s v="Groceries"/>
    <n v="2685.99"/>
    <n v="2038.65"/>
    <n v="647.34"/>
    <m/>
    <n v="5"/>
    <s v="Met"/>
    <x v="5"/>
    <n v="4"/>
    <x v="0"/>
  </r>
  <r>
    <s v="TXN-10598"/>
    <d v="2024-11-07T00:00:00"/>
    <x v="2"/>
    <s v="Jasmine Wong"/>
    <x v="5"/>
    <s v="Groceries"/>
    <n v="3320.01"/>
    <n v="2913.75"/>
    <n v="406.26"/>
    <m/>
    <n v="5"/>
    <s v="Met"/>
    <x v="8"/>
    <n v="4"/>
    <x v="0"/>
  </r>
  <r>
    <s v="TXN-10802"/>
    <d v="2024-06-24T00:00:00"/>
    <x v="1"/>
    <s v="Syafiq Azman"/>
    <x v="3"/>
    <s v="Furniture"/>
    <n v="593.34"/>
    <n v="377.7"/>
    <n v="215.64"/>
    <m/>
    <n v="4"/>
    <s v="Met"/>
    <x v="4"/>
    <n v="2"/>
    <x v="0"/>
  </r>
  <r>
    <s v="TXN-10512"/>
    <d v="2024-06-13T00:00:00"/>
    <x v="2"/>
    <s v="Hafiz Idris"/>
    <x v="5"/>
    <s v="Automotive Parts"/>
    <n v="205.71"/>
    <n v="160.30000000000001"/>
    <n v="45.41"/>
    <m/>
    <n v="5"/>
    <s v="Missed"/>
    <x v="4"/>
    <n v="2"/>
    <x v="0"/>
  </r>
  <r>
    <s v="TXN-10689"/>
    <d v="2024-05-31T00:00:00"/>
    <x v="4"/>
    <s v="Nabilah Yusof"/>
    <x v="0"/>
    <s v="Electronics"/>
    <n v="1018.84"/>
    <n v="672.33"/>
    <n v="346.51"/>
    <m/>
    <n v="4"/>
    <s v="Met"/>
    <x v="7"/>
    <n v="2"/>
    <x v="0"/>
  </r>
  <r>
    <s v="TXN-10173"/>
    <d v="2024-08-01T00:00:00"/>
    <x v="0"/>
    <s v="Maya Devi"/>
    <x v="0"/>
    <s v="Furniture"/>
    <n v="3218.11"/>
    <n v="2027.36"/>
    <n v="1190.75"/>
    <m/>
    <n v="5"/>
    <s v="Missed"/>
    <x v="2"/>
    <n v="3"/>
    <x v="0"/>
  </r>
  <r>
    <s v="TXN-10665"/>
    <d v="2024-08-14T00:00:00"/>
    <x v="4"/>
    <s v="Lim Pei Yi"/>
    <x v="3"/>
    <s v="Furniture"/>
    <n v="1574.42"/>
    <n v="968.54"/>
    <n v="605.88"/>
    <m/>
    <n v="4"/>
    <s v="Met"/>
    <x v="2"/>
    <n v="3"/>
    <x v="0"/>
  </r>
  <r>
    <s v="TXN-10920"/>
    <d v="2024-04-19T00:00:00"/>
    <x v="4"/>
    <s v="Lim Pei Yi"/>
    <x v="4"/>
    <s v="Electronic"/>
    <n v="3252.81"/>
    <n v="2438.23"/>
    <n v="814.58"/>
    <m/>
    <n v="5"/>
    <s v="Met"/>
    <x v="0"/>
    <n v="2"/>
    <x v="0"/>
  </r>
  <r>
    <s v="TXN-10199"/>
    <d v="2024-12-14T00:00:00"/>
    <x v="0"/>
    <s v="Wong Li Ting"/>
    <x v="0"/>
    <s v="Groceries"/>
    <n v="2473.77"/>
    <n v="1384.56"/>
    <n v="1089.21"/>
    <m/>
    <n v="5"/>
    <s v="Met"/>
    <x v="11"/>
    <n v="4"/>
    <x v="0"/>
  </r>
  <r>
    <s v="TXN-10399"/>
    <d v="2024-06-09T00:00:00"/>
    <x v="4"/>
    <s v="Faisal Rashid"/>
    <x v="3"/>
    <s v="Groceries"/>
    <n v="820.26"/>
    <n v="533.64"/>
    <n v="286.62"/>
    <m/>
    <n v="5"/>
    <s v="Met"/>
    <x v="4"/>
    <n v="2"/>
    <x v="0"/>
  </r>
  <r>
    <s v="TXN-10793"/>
    <d v="2024-12-03T00:00:00"/>
    <x v="2"/>
    <s v="Chong Kah Wei"/>
    <x v="2"/>
    <s v="Electronics"/>
    <n v="3824.23"/>
    <n v="3066.81"/>
    <n v="757.42"/>
    <n v="14"/>
    <n v="1"/>
    <s v="Met"/>
    <x v="11"/>
    <n v="4"/>
    <x v="1"/>
  </r>
  <r>
    <s v="TXN-10296"/>
    <d v="2024-01-26T00:00:00"/>
    <x v="4"/>
    <s v="Chen Mei Ling"/>
    <x v="5"/>
    <s v="Groceries"/>
    <n v="1986.31"/>
    <n v="1222.8499999999999"/>
    <n v="763.46"/>
    <m/>
    <n v="3"/>
    <s v="Missed"/>
    <x v="1"/>
    <n v="1"/>
    <x v="0"/>
  </r>
  <r>
    <s v="TXN-10751"/>
    <d v="2024-09-18T00:00:00"/>
    <x v="1"/>
    <s v="Vikram Singh"/>
    <x v="0"/>
    <s v="Furniture"/>
    <n v="802.84"/>
    <n v="610.16"/>
    <n v="192.68"/>
    <m/>
    <n v="5"/>
    <s v="Met"/>
    <x v="9"/>
    <n v="3"/>
    <x v="0"/>
  </r>
  <r>
    <s v="TXN-10455"/>
    <d v="2024-08-25T00:00:00"/>
    <x v="1"/>
    <s v="Lee Jia Hui"/>
    <x v="3"/>
    <s v="Electronics"/>
    <n v="4944.26"/>
    <n v="3526.57"/>
    <n v="1417.69"/>
    <n v="8"/>
    <n v="2"/>
    <s v="Missed"/>
    <x v="2"/>
    <n v="3"/>
    <x v="1"/>
  </r>
  <r>
    <s v="TXN-10421"/>
    <d v="2024-10-18T00:00:00"/>
    <x v="4"/>
    <s v="Aina Sofea"/>
    <x v="1"/>
    <s v="Automotive Parts"/>
    <n v="583.22"/>
    <n v="446.64"/>
    <n v="136.58000000000001"/>
    <m/>
    <n v="3"/>
    <s v="Met"/>
    <x v="5"/>
    <n v="4"/>
    <x v="0"/>
  </r>
  <r>
    <s v="TXN-10612"/>
    <d v="2024-09-08T00:00:00"/>
    <x v="4"/>
    <s v="Aina Sofea"/>
    <x v="1"/>
    <s v="Furniture"/>
    <n v="2611.63"/>
    <n v="2082.64"/>
    <n v="528.99"/>
    <m/>
    <n v="4"/>
    <s v="Met"/>
    <x v="9"/>
    <n v="3"/>
    <x v="0"/>
  </r>
  <r>
    <s v="TXN-10254"/>
    <d v="2024-12-22T00:00:00"/>
    <x v="1"/>
    <s v="Syafiq Azman"/>
    <x v="1"/>
    <s v="Automotive Parts"/>
    <n v="2080"/>
    <n v="1365.25"/>
    <n v="714.75"/>
    <m/>
    <n v="5"/>
    <s v="Met"/>
    <x v="11"/>
    <n v="4"/>
    <x v="0"/>
  </r>
  <r>
    <s v="TXN-10121"/>
    <d v="2024-07-10T00:00:00"/>
    <x v="0"/>
    <s v="Noraini Yaakob"/>
    <x v="1"/>
    <s v="Automotive Parts"/>
    <n v="1543.08"/>
    <n v="1060.57"/>
    <n v="482.51"/>
    <m/>
    <n v="5"/>
    <s v="Met"/>
    <x v="3"/>
    <n v="3"/>
    <x v="0"/>
  </r>
  <r>
    <s v="TXN-10555"/>
    <d v="2024-05-24T00:00:00"/>
    <x v="0"/>
    <s v="Roslan Ahmad"/>
    <x v="1"/>
    <s v="Electronics"/>
    <n v="220.51"/>
    <n v="130.26"/>
    <n v="90.25"/>
    <m/>
    <n v="3"/>
    <s v="Missed"/>
    <x v="7"/>
    <n v="2"/>
    <x v="0"/>
  </r>
  <r>
    <s v="TXN-10998"/>
    <d v="2024-04-19T00:00:00"/>
    <x v="2"/>
    <s v="Chong Kah Wei"/>
    <x v="0"/>
    <s v="Automotive Parts"/>
    <n v="274.02999999999997"/>
    <n v="226.3"/>
    <n v="47.73"/>
    <m/>
    <n v="1"/>
    <s v="Missed"/>
    <x v="0"/>
    <n v="2"/>
    <x v="0"/>
  </r>
  <r>
    <s v="TXN-10197"/>
    <d v="2024-02-04T00:00:00"/>
    <x v="2"/>
    <s v="Priya Devi"/>
    <x v="2"/>
    <s v="Electronics"/>
    <n v="441.54"/>
    <n v="363.12"/>
    <n v="78.42"/>
    <m/>
    <n v="5"/>
    <s v="Missed"/>
    <x v="10"/>
    <n v="1"/>
    <x v="0"/>
  </r>
  <r>
    <s v="TXN-10048"/>
    <d v="2024-03-23T00:00:00"/>
    <x v="4"/>
    <s v="Aina Sofea"/>
    <x v="4"/>
    <s v="Groceries"/>
    <n v="1254.8399999999999"/>
    <n v="907.77"/>
    <n v="347.07"/>
    <m/>
    <n v="5"/>
    <s v="Missed"/>
    <x v="6"/>
    <n v="1"/>
    <x v="0"/>
  </r>
  <r>
    <s v="TXN-10542"/>
    <d v="2024-07-18T00:00:00"/>
    <x v="0"/>
    <s v="Hock Seng"/>
    <x v="2"/>
    <s v="Apparel"/>
    <n v="590.25"/>
    <n v="465.95"/>
    <n v="124.3"/>
    <n v="3"/>
    <n v="1"/>
    <s v="Met"/>
    <x v="3"/>
    <n v="3"/>
    <x v="1"/>
  </r>
  <r>
    <s v="TXN-10889"/>
    <d v="2024-08-21T00:00:00"/>
    <x v="1"/>
    <s v="Anand Raj"/>
    <x v="2"/>
    <s v="Furniture"/>
    <n v="299.12"/>
    <n v="189.39"/>
    <n v="109.73"/>
    <m/>
    <n v="2"/>
    <s v="Met"/>
    <x v="2"/>
    <n v="3"/>
    <x v="0"/>
  </r>
  <r>
    <s v="TXN-10834"/>
    <d v="2024-11-19T00:00:00"/>
    <x v="2"/>
    <s v="Muthu Kannan"/>
    <x v="2"/>
    <s v="Furniture"/>
    <n v="2937.24"/>
    <n v="2159.09"/>
    <n v="778.15"/>
    <m/>
    <n v="5"/>
    <s v="Missed"/>
    <x v="8"/>
    <n v="4"/>
    <x v="0"/>
  </r>
  <r>
    <s v="TXN-10448"/>
    <d v="2024-06-21T00:00:00"/>
    <x v="1"/>
    <s v="Lee Jia Hui"/>
    <x v="4"/>
    <s v="Groceries"/>
    <n v="2767.52"/>
    <n v="1850.94"/>
    <n v="916.58"/>
    <m/>
    <n v="4"/>
    <s v="Met"/>
    <x v="4"/>
    <n v="2"/>
    <x v="0"/>
  </r>
  <r>
    <s v="TXN-10394"/>
    <d v="2024-10-14T00:00:00"/>
    <x v="1"/>
    <s v="Uknown"/>
    <x v="2"/>
    <s v="Groceries"/>
    <n v="3012.08"/>
    <n v="2038.19"/>
    <n v="973.89"/>
    <n v="10"/>
    <n v="4"/>
    <s v="Met"/>
    <x v="5"/>
    <n v="4"/>
    <x v="1"/>
  </r>
  <r>
    <s v="TXN-10954"/>
    <d v="2024-01-14T00:00:00"/>
    <x v="2"/>
    <s v="Hafiz Idris"/>
    <x v="2"/>
    <s v="Furniture"/>
    <n v="310.52"/>
    <n v="221.89"/>
    <n v="88.63"/>
    <m/>
    <n v="4"/>
    <s v="Met"/>
    <x v="1"/>
    <n v="1"/>
    <x v="0"/>
  </r>
  <r>
    <s v="TXN-10404"/>
    <d v="2024-02-16T00:00:00"/>
    <x v="1"/>
    <s v="Michelle Tan"/>
    <x v="2"/>
    <s v="Electronics"/>
    <n v="947.56"/>
    <n v="550.12"/>
    <n v="397.44"/>
    <m/>
    <n v="4"/>
    <s v="Met"/>
    <x v="10"/>
    <n v="1"/>
    <x v="0"/>
  </r>
  <r>
    <s v="TXN-10894"/>
    <d v="2024-08-19T00:00:00"/>
    <x v="4"/>
    <s v="Faisal Rashid"/>
    <x v="0"/>
    <s v="Electronics"/>
    <n v="1825.24"/>
    <n v="1384.99"/>
    <n v="440.25"/>
    <m/>
    <n v="5"/>
    <s v="Met"/>
    <x v="2"/>
    <n v="3"/>
    <x v="0"/>
  </r>
  <r>
    <s v="TXN-10781"/>
    <d v="2024-04-05T00:00:00"/>
    <x v="3"/>
    <s v="Daniel Tan"/>
    <x v="0"/>
    <s v="Electronics"/>
    <n v="3139.39"/>
    <n v="2285.8000000000002"/>
    <n v="853.59"/>
    <m/>
    <n v="4"/>
    <s v="Met"/>
    <x v="0"/>
    <n v="2"/>
    <x v="0"/>
  </r>
  <r>
    <s v="TXN-10265"/>
    <d v="2024-09-18T00:00:00"/>
    <x v="4"/>
    <s v="Lim Pei Yi"/>
    <x v="3"/>
    <s v="Electronics"/>
    <n v="1445.76"/>
    <n v="1003.6"/>
    <n v="442.16"/>
    <m/>
    <n v="5"/>
    <s v="Missed"/>
    <x v="9"/>
    <n v="3"/>
    <x v="0"/>
  </r>
  <r>
    <s v="TXN-10592"/>
    <d v="2024-11-20T00:00:00"/>
    <x v="0"/>
    <s v="Roslan Ahmad"/>
    <x v="3"/>
    <s v="Automotive Parts"/>
    <n v="3192.81"/>
    <n v="2401.4299999999998"/>
    <n v="791.38"/>
    <m/>
    <n v="5"/>
    <s v="Met"/>
    <x v="8"/>
    <n v="4"/>
    <x v="0"/>
  </r>
  <r>
    <s v="TXN-10003"/>
    <d v="2024-07-12T00:00:00"/>
    <x v="0"/>
    <s v="Wong Li Ting"/>
    <x v="2"/>
    <s v="Electronics"/>
    <n v="559.96"/>
    <n v="395.98"/>
    <n v="163.98"/>
    <m/>
    <n v="2"/>
    <s v="Met"/>
    <x v="3"/>
    <n v="3"/>
    <x v="0"/>
  </r>
  <r>
    <s v="TXN-10535"/>
    <d v="2024-02-16T00:00:00"/>
    <x v="4"/>
    <s v="Suresh Pillai"/>
    <x v="3"/>
    <s v="Apparel"/>
    <n v="2276.17"/>
    <n v="1295.54"/>
    <n v="980.63"/>
    <m/>
    <n v="2"/>
    <s v="Met"/>
    <x v="10"/>
    <n v="1"/>
    <x v="0"/>
  </r>
  <r>
    <s v="TXN-10410"/>
    <d v="2024-06-12T00:00:00"/>
    <x v="2"/>
    <s v="Muthu Kannan"/>
    <x v="2"/>
    <s v="Apparel"/>
    <n v="1662.49"/>
    <n v="1483.23"/>
    <n v="179.26"/>
    <n v="12"/>
    <n v="1"/>
    <s v="Missed"/>
    <x v="4"/>
    <n v="2"/>
    <x v="1"/>
  </r>
  <r>
    <s v="TXN-10304"/>
    <d v="2024-12-27T00:00:00"/>
    <x v="2"/>
    <s v="Chong Kah Wei"/>
    <x v="0"/>
    <s v="Furniture"/>
    <n v="3160.45"/>
    <n v="2844.73"/>
    <n v="315.72000000000003"/>
    <m/>
    <n v="3"/>
    <s v="Met"/>
    <x v="11"/>
    <n v="4"/>
    <x v="0"/>
  </r>
  <r>
    <s v="TXN-10233"/>
    <d v="2024-12-15T00:00:00"/>
    <x v="4"/>
    <s v="Nabilah Yusof"/>
    <x v="3"/>
    <s v="Electronics"/>
    <n v="633.91"/>
    <n v="465.14"/>
    <n v="168.77"/>
    <m/>
    <n v="4"/>
    <s v="Missed"/>
    <x v="11"/>
    <n v="4"/>
    <x v="0"/>
  </r>
  <r>
    <s v="TXN-10397"/>
    <d v="2024-12-07T00:00:00"/>
    <x v="2"/>
    <s v="Priya Devi"/>
    <x v="4"/>
    <s v="Groceries"/>
    <n v="1287.46"/>
    <n v="1075.3699999999999"/>
    <n v="212.09"/>
    <m/>
    <n v="5"/>
    <s v="Met"/>
    <x v="11"/>
    <n v="4"/>
    <x v="0"/>
  </r>
  <r>
    <s v="TXN-10435"/>
    <d v="2024-12-19T00:00:00"/>
    <x v="1"/>
    <s v="Farhana Ismail"/>
    <x v="4"/>
    <s v="Automotive Parts"/>
    <n v="3076.88"/>
    <n v="2157.12"/>
    <n v="919.76"/>
    <m/>
    <n v="4"/>
    <s v="Met"/>
    <x v="11"/>
    <n v="4"/>
    <x v="0"/>
  </r>
  <r>
    <s v="TXN-10823"/>
    <d v="2024-04-16T00:00:00"/>
    <x v="3"/>
    <s v="Raj Kumar"/>
    <x v="0"/>
    <s v="Groceries"/>
    <n v="918.85"/>
    <n v="618.26"/>
    <n v="300.58999999999997"/>
    <m/>
    <n v="4"/>
    <s v="Met"/>
    <x v="0"/>
    <n v="2"/>
    <x v="0"/>
  </r>
  <r>
    <s v="TXN-10502"/>
    <d v="2024-10-14T00:00:00"/>
    <x v="4"/>
    <s v="Goh Wen Xin"/>
    <x v="3"/>
    <s v="Furniture"/>
    <n v="2180.1799999999998"/>
    <n v="1238.31"/>
    <n v="941.87"/>
    <m/>
    <n v="5"/>
    <s v="Missed"/>
    <x v="5"/>
    <n v="4"/>
    <x v="0"/>
  </r>
  <r>
    <s v="TXN-10801"/>
    <d v="2024-10-09T00:00:00"/>
    <x v="0"/>
    <s v="Hock Seng"/>
    <x v="1"/>
    <s v="Electronics"/>
    <n v="396.74"/>
    <n v="310.11"/>
    <n v="86.63"/>
    <m/>
    <n v="3"/>
    <s v="Met"/>
    <x v="5"/>
    <n v="4"/>
    <x v="0"/>
  </r>
  <r>
    <s v="TXN-10281"/>
    <d v="2024-01-22T00:00:00"/>
    <x v="4"/>
    <s v="Nabilah Yusof"/>
    <x v="0"/>
    <s v="Groceries"/>
    <n v="2644.83"/>
    <n v="1818.04"/>
    <n v="826.79"/>
    <m/>
    <n v="3"/>
    <s v="Met"/>
    <x v="1"/>
    <n v="1"/>
    <x v="0"/>
  </r>
  <r>
    <s v="TXN-10010"/>
    <d v="2024-11-28T00:00:00"/>
    <x v="4"/>
    <s v="Faisal Rashid"/>
    <x v="3"/>
    <s v="Automotive Parts"/>
    <n v="1400.96"/>
    <n v="1085.6099999999999"/>
    <n v="315.35000000000002"/>
    <n v="6"/>
    <n v="1"/>
    <s v="Met"/>
    <x v="8"/>
    <n v="4"/>
    <x v="1"/>
  </r>
  <r>
    <s v="TXN-10586"/>
    <d v="2024-08-25T00:00:00"/>
    <x v="3"/>
    <s v="Siti Noraini"/>
    <x v="4"/>
    <s v="Automotive Parts"/>
    <n v="1533.33"/>
    <n v="1157.82"/>
    <n v="375.51"/>
    <n v="4"/>
    <n v="3"/>
    <s v="Met"/>
    <x v="2"/>
    <n v="3"/>
    <x v="1"/>
  </r>
  <r>
    <s v="TXN-10587"/>
    <d v="2024-01-14T00:00:00"/>
    <x v="3"/>
    <s v="Raj Kumar"/>
    <x v="3"/>
    <s v="Electronics"/>
    <n v="663.81"/>
    <n v="427.23"/>
    <n v="236.58"/>
    <m/>
    <n v="5"/>
    <s v="Met"/>
    <x v="1"/>
    <n v="1"/>
    <x v="0"/>
  </r>
  <r>
    <s v="TXN-10963"/>
    <d v="2024-09-11T00:00:00"/>
    <x v="3"/>
    <s v="Farah Aziz"/>
    <x v="3"/>
    <s v="Automotive Parts"/>
    <n v="940.43"/>
    <n v="612.47"/>
    <n v="327.96"/>
    <m/>
    <n v="4"/>
    <s v="Missed"/>
    <x v="9"/>
    <n v="3"/>
    <x v="1"/>
  </r>
  <r>
    <s v="TXN-10728"/>
    <d v="2024-08-01T00:00:00"/>
    <x v="0"/>
    <s v="Izzat Fikri"/>
    <x v="1"/>
    <s v="Groceries"/>
    <n v="2762.18"/>
    <n v="1705.22"/>
    <n v="1056.96"/>
    <m/>
    <n v="4"/>
    <s v="Missed"/>
    <x v="2"/>
    <n v="3"/>
    <x v="0"/>
  </r>
  <r>
    <s v="TXN-10810"/>
    <d v="2024-03-12T00:00:00"/>
    <x v="0"/>
    <s v="Roslan Ahmad"/>
    <x v="3"/>
    <s v="Automotive Parts"/>
    <n v="2790.69"/>
    <n v="1801.01"/>
    <n v="989.68"/>
    <m/>
    <n v="3"/>
    <s v="Met"/>
    <x v="6"/>
    <n v="1"/>
    <x v="1"/>
  </r>
  <r>
    <s v="TXN-10001"/>
    <d v="2024-05-05T00:00:00"/>
    <x v="3"/>
    <s v="Daniel Tan"/>
    <x v="6"/>
    <s v="Apparel"/>
    <n v="897.76"/>
    <n v="659.06"/>
    <n v="238.7"/>
    <m/>
    <n v="3"/>
    <s v="Met"/>
    <x v="7"/>
    <n v="2"/>
    <x v="1"/>
  </r>
  <r>
    <s v="TXN-10169"/>
    <d v="2024-02-10T00:00:00"/>
    <x v="2"/>
    <s v="Uknown"/>
    <x v="4"/>
    <s v="Electronics"/>
    <n v="1862.87"/>
    <n v="1387.29"/>
    <n v="475.58"/>
    <m/>
    <n v="5"/>
    <s v="Met"/>
    <x v="10"/>
    <n v="1"/>
    <x v="0"/>
  </r>
  <r>
    <s v="TXN-10470"/>
    <d v="2024-10-23T00:00:00"/>
    <x v="0"/>
    <s v="Izzat Fikri"/>
    <x v="2"/>
    <s v="Apparel"/>
    <n v="2046.42"/>
    <n v="1297.26"/>
    <n v="749.16"/>
    <m/>
    <n v="4"/>
    <s v="Met"/>
    <x v="5"/>
    <n v="4"/>
    <x v="0"/>
  </r>
  <r>
    <s v="TXN-10678"/>
    <d v="2024-02-22T00:00:00"/>
    <x v="2"/>
    <s v="Zulkifli Hassan"/>
    <x v="5"/>
    <s v="Groceries"/>
    <n v="2597.6999999999998"/>
    <n v="1978.4"/>
    <n v="619.29999999999995"/>
    <m/>
    <n v="4"/>
    <s v="Met"/>
    <x v="10"/>
    <n v="1"/>
    <x v="0"/>
  </r>
  <r>
    <s v="TXN-10363"/>
    <d v="2024-05-31T00:00:00"/>
    <x v="0"/>
    <s v="Hock Seng"/>
    <x v="0"/>
    <s v="Electronics"/>
    <n v="950.86"/>
    <n v="760.44"/>
    <n v="190.42"/>
    <m/>
    <n v="5"/>
    <s v="Met"/>
    <x v="7"/>
    <n v="2"/>
    <x v="0"/>
  </r>
  <r>
    <s v="TXN-10855"/>
    <d v="2024-05-10T00:00:00"/>
    <x v="3"/>
    <s v="Nur Aina"/>
    <x v="0"/>
    <s v="Apparel"/>
    <n v="3258.15"/>
    <n v="2162.4"/>
    <n v="1095.75"/>
    <m/>
    <n v="4"/>
    <s v="Met"/>
    <x v="7"/>
    <n v="2"/>
    <x v="0"/>
  </r>
  <r>
    <s v="TXN-10970"/>
    <d v="2024-07-03T00:00:00"/>
    <x v="3"/>
    <s v="Raj Kumar"/>
    <x v="1"/>
    <s v="Automotive Parts"/>
    <n v="2681.15"/>
    <n v="1736.15"/>
    <n v="945"/>
    <m/>
    <n v="2"/>
    <s v="Missed"/>
    <x v="3"/>
    <n v="3"/>
    <x v="0"/>
  </r>
  <r>
    <s v="TXN-10623"/>
    <d v="2024-10-06T00:00:00"/>
    <x v="0"/>
    <s v="Noraini Yaakob"/>
    <x v="0"/>
    <s v="Apparel"/>
    <n v="1021.91"/>
    <n v="718.6"/>
    <n v="303.31"/>
    <m/>
    <n v="4"/>
    <s v="Met"/>
    <x v="5"/>
    <n v="4"/>
    <x v="0"/>
  </r>
  <r>
    <s v="TXN-10086"/>
    <d v="2024-04-09T00:00:00"/>
    <x v="4"/>
    <s v="Faisal Rashid"/>
    <x v="3"/>
    <s v="Automotive Parts"/>
    <n v="1382.27"/>
    <n v="1087.55"/>
    <n v="294.72000000000003"/>
    <m/>
    <n v="4"/>
    <s v="Met"/>
    <x v="0"/>
    <n v="2"/>
    <x v="0"/>
  </r>
  <r>
    <s v="TXN-10034"/>
    <d v="2024-04-12T00:00:00"/>
    <x v="3"/>
    <s v="Kevin Lim"/>
    <x v="5"/>
    <s v="Automotive Parts"/>
    <n v="2961.42"/>
    <n v="2088.79"/>
    <n v="872.63"/>
    <n v="4"/>
    <n v="2"/>
    <s v="Met"/>
    <x v="0"/>
    <n v="2"/>
    <x v="1"/>
  </r>
  <r>
    <s v="TXN-10087"/>
    <d v="2024-02-22T00:00:00"/>
    <x v="0"/>
    <s v="Maya Devi"/>
    <x v="4"/>
    <s v="Groceries"/>
    <n v="2533.19"/>
    <n v="1719.98"/>
    <n v="813.21"/>
    <m/>
    <n v="4"/>
    <s v="Met"/>
    <x v="10"/>
    <n v="1"/>
    <x v="0"/>
  </r>
  <r>
    <s v="TXN-10536"/>
    <d v="2024-09-11T00:00:00"/>
    <x v="1"/>
    <s v="Farhana Ismail"/>
    <x v="1"/>
    <s v="Electronics"/>
    <n v="2999.12"/>
    <n v="2315.38"/>
    <n v="683.74"/>
    <m/>
    <n v="5"/>
    <s v="Met"/>
    <x v="9"/>
    <n v="3"/>
    <x v="0"/>
  </r>
  <r>
    <s v="TXN-10076"/>
    <d v="2024-02-09T00:00:00"/>
    <x v="3"/>
    <s v="Siti Noraini"/>
    <x v="3"/>
    <s v="Electronics"/>
    <n v="3038.07"/>
    <n v="2108.2399999999998"/>
    <n v="929.83"/>
    <m/>
    <n v="3"/>
    <s v="Missed"/>
    <x v="10"/>
    <n v="1"/>
    <x v="0"/>
  </r>
  <r>
    <s v="TXN-10523"/>
    <d v="2024-09-20T00:00:00"/>
    <x v="2"/>
    <s v="Chong Kah Wei"/>
    <x v="5"/>
    <s v="Electronics"/>
    <n v="3393.24"/>
    <n v="3099.18"/>
    <n v="294.06"/>
    <n v="12"/>
    <n v="2"/>
    <s v="Met"/>
    <x v="9"/>
    <n v="3"/>
    <x v="1"/>
  </r>
  <r>
    <s v="TXN-10571"/>
    <d v="2024-03-17T00:00:00"/>
    <x v="1"/>
    <s v="Nurul Huda"/>
    <x v="5"/>
    <s v="Groceries"/>
    <n v="229.35"/>
    <n v="171.79"/>
    <n v="57.56"/>
    <m/>
    <n v="4"/>
    <s v="Missed"/>
    <x v="6"/>
    <n v="1"/>
    <x v="0"/>
  </r>
  <r>
    <s v="TXN-10141"/>
    <d v="2024-11-12T00:00:00"/>
    <x v="1"/>
    <s v="Farhana Ismail"/>
    <x v="1"/>
    <s v="Furniture"/>
    <n v="1139.52"/>
    <n v="696.94"/>
    <n v="442.58"/>
    <n v="3"/>
    <n v="3"/>
    <s v="Met"/>
    <x v="8"/>
    <n v="4"/>
    <x v="1"/>
  </r>
  <r>
    <s v="TXN-10457"/>
    <d v="2024-05-05T00:00:00"/>
    <x v="4"/>
    <s v="Suresh Pillai"/>
    <x v="1"/>
    <s v="Furniture"/>
    <n v="2368.63"/>
    <n v="1493.21"/>
    <n v="875.42"/>
    <m/>
    <n v="1"/>
    <s v="Met"/>
    <x v="7"/>
    <n v="2"/>
    <x v="0"/>
  </r>
  <r>
    <s v="TXN-10729"/>
    <d v="2024-07-25T00:00:00"/>
    <x v="0"/>
    <s v="Roslan Ahmad"/>
    <x v="3"/>
    <s v="Electronics"/>
    <n v="467.07"/>
    <n v="332.3"/>
    <n v="134.77000000000001"/>
    <m/>
    <n v="1"/>
    <s v="Met"/>
    <x v="3"/>
    <n v="3"/>
    <x v="0"/>
  </r>
  <r>
    <s v="TXN-10742"/>
    <d v="2024-03-31T00:00:00"/>
    <x v="3"/>
    <s v="Farah Aziz"/>
    <x v="0"/>
    <s v="Apparel"/>
    <n v="2041.34"/>
    <n v="1188.03"/>
    <n v="853.31"/>
    <n v="1"/>
    <n v="1"/>
    <s v="Met"/>
    <x v="6"/>
    <n v="1"/>
    <x v="1"/>
  </r>
  <r>
    <s v="TXN-10294"/>
    <d v="2024-01-29T00:00:00"/>
    <x v="1"/>
    <s v="Anand Raj"/>
    <x v="3"/>
    <s v="Electronics"/>
    <n v="3238.27"/>
    <n v="2051.7600000000002"/>
    <n v="1186.51"/>
    <m/>
    <n v="5"/>
    <s v="Missed"/>
    <x v="1"/>
    <n v="1"/>
    <x v="0"/>
  </r>
  <r>
    <s v="TXN-10939"/>
    <d v="2024-05-29T00:00:00"/>
    <x v="1"/>
    <s v="Nurul Huda"/>
    <x v="4"/>
    <s v="Electronics"/>
    <n v="906.58"/>
    <n v="588.6"/>
    <n v="317.98"/>
    <m/>
    <n v="5"/>
    <s v="Met"/>
    <x v="7"/>
    <n v="2"/>
    <x v="1"/>
  </r>
  <r>
    <s v="TXN-10661"/>
    <d v="2024-07-11T00:00:00"/>
    <x v="3"/>
    <s v="Uknown"/>
    <x v="0"/>
    <s v="Electronics"/>
    <n v="4076.22"/>
    <n v="2441.33"/>
    <n v="1634.89"/>
    <n v="8"/>
    <n v="2"/>
    <s v="Met"/>
    <x v="3"/>
    <n v="3"/>
    <x v="1"/>
  </r>
  <r>
    <s v="TXN-10917"/>
    <d v="2024-04-01T00:00:00"/>
    <x v="2"/>
    <s v="Muthu Kannan"/>
    <x v="0"/>
    <s v="Apparel"/>
    <n v="806.12"/>
    <n v="601.36"/>
    <n v="204.76"/>
    <n v="11"/>
    <n v="3"/>
    <s v="Missed"/>
    <x v="0"/>
    <n v="2"/>
    <x v="1"/>
  </r>
  <r>
    <s v="TXN-10259"/>
    <d v="2024-11-10T00:00:00"/>
    <x v="1"/>
    <s v="Vikram Singh"/>
    <x v="2"/>
    <s v="Apparrel"/>
    <n v="717.77"/>
    <n v="401.24"/>
    <n v="316.52999999999997"/>
    <m/>
    <n v="3"/>
    <s v="Missed"/>
    <x v="8"/>
    <n v="4"/>
    <x v="0"/>
  </r>
  <r>
    <s v="TXN-10674"/>
    <d v="2024-09-10T00:00:00"/>
    <x v="3"/>
    <s v="Wei Jian"/>
    <x v="5"/>
    <s v="Automotive Parts"/>
    <n v="721.92"/>
    <n v="542.01"/>
    <n v="179.91"/>
    <n v="7"/>
    <n v="2"/>
    <s v="Met"/>
    <x v="9"/>
    <n v="3"/>
    <x v="1"/>
  </r>
  <r>
    <s v="TXN-10230"/>
    <d v="2024-07-14T00:00:00"/>
    <x v="3"/>
    <s v="Farah Aziz"/>
    <x v="2"/>
    <s v="Electronics"/>
    <n v="945.45"/>
    <n v="567.25"/>
    <n v="378.2"/>
    <m/>
    <n v="3"/>
    <s v="Missed"/>
    <x v="3"/>
    <n v="3"/>
    <x v="0"/>
  </r>
  <r>
    <s v="TXN-10596"/>
    <d v="2024-01-18T00:00:00"/>
    <x v="3"/>
    <s v="Siti Noraini"/>
    <x v="3"/>
    <s v="Electronics"/>
    <n v="3359.63"/>
    <n v="2060.35"/>
    <n v="1299.28"/>
    <m/>
    <n v="5"/>
    <s v="Met"/>
    <x v="1"/>
    <n v="1"/>
    <x v="0"/>
  </r>
  <r>
    <s v="TXN-10545"/>
    <d v="2024-02-01T00:00:00"/>
    <x v="2"/>
    <s v="Zulkifli Hassan"/>
    <x v="4"/>
    <s v="Furniture"/>
    <n v="1858.04"/>
    <n v="1563.82"/>
    <n v="294.22000000000003"/>
    <n v="11"/>
    <n v="2"/>
    <s v="Met"/>
    <x v="10"/>
    <n v="1"/>
    <x v="1"/>
  </r>
  <r>
    <s v="TXN-10893"/>
    <d v="2024-07-04T00:00:00"/>
    <x v="0"/>
    <s v="Izzat Fikri"/>
    <x v="0"/>
    <s v="Apparel"/>
    <n v="476.97"/>
    <n v="373.44"/>
    <n v="103.53"/>
    <m/>
    <n v="5"/>
    <s v="Missed"/>
    <x v="3"/>
    <n v="3"/>
    <x v="0"/>
  </r>
  <r>
    <s v="TXN-10449"/>
    <d v="2024-07-21T00:00:00"/>
    <x v="0"/>
    <s v="Noraini Yaakob"/>
    <x v="3"/>
    <s v="Electronics"/>
    <n v="1627.67"/>
    <n v="1168.03"/>
    <n v="459.64"/>
    <m/>
    <n v="5"/>
    <s v="Met"/>
    <x v="3"/>
    <n v="3"/>
    <x v="0"/>
  </r>
  <r>
    <s v="TXN-10143"/>
    <d v="2024-03-27T00:00:00"/>
    <x v="1"/>
    <s v="Nurul Huda"/>
    <x v="0"/>
    <s v="Apparel"/>
    <n v="615.11"/>
    <n v="384.62"/>
    <n v="230.49"/>
    <n v="5"/>
    <n v="2"/>
    <s v="Met"/>
    <x v="6"/>
    <n v="1"/>
    <x v="1"/>
  </r>
  <r>
    <s v="TXN-10118"/>
    <d v="2024-04-08T00:00:00"/>
    <x v="2"/>
    <s v="Amir Hakim"/>
    <x v="2"/>
    <s v="Groceries"/>
    <n v="2859.53"/>
    <n v="2209.6999999999998"/>
    <n v="649.83000000000004"/>
    <m/>
    <n v="1"/>
    <s v="Missed"/>
    <x v="0"/>
    <n v="2"/>
    <x v="0"/>
  </r>
  <r>
    <s v="TXN-10167"/>
    <d v="2024-10-31T00:00:00"/>
    <x v="3"/>
    <s v="Aisha Rahman"/>
    <x v="0"/>
    <s v="Groceries"/>
    <n v="387.89"/>
    <n v="299.52"/>
    <n v="88.37"/>
    <m/>
    <n v="3"/>
    <s v="Met"/>
    <x v="5"/>
    <n v="4"/>
    <x v="0"/>
  </r>
  <r>
    <s v="TXN-10613"/>
    <d v="2024-12-17T00:00:00"/>
    <x v="1"/>
    <s v="Anand Raj"/>
    <x v="3"/>
    <s v="Electronics"/>
    <n v="2785.26"/>
    <n v="1634.88"/>
    <n v="1150.3800000000001"/>
    <m/>
    <n v="3"/>
    <s v="Met"/>
    <x v="11"/>
    <n v="4"/>
    <x v="0"/>
  </r>
  <r>
    <s v="TXN-10066"/>
    <d v="2024-03-15T00:00:00"/>
    <x v="2"/>
    <s v="Muthu Kannan"/>
    <x v="2"/>
    <s v="Electronics"/>
    <n v="3458.22"/>
    <n v="2831.75"/>
    <n v="626.47"/>
    <n v="8"/>
    <n v="4"/>
    <s v="Missed"/>
    <x v="6"/>
    <n v="1"/>
    <x v="1"/>
  </r>
  <r>
    <s v="TXN-10494"/>
    <d v="2024-01-23T00:00:00"/>
    <x v="4"/>
    <s v="Aina Sofea"/>
    <x v="1"/>
    <s v="Groceries"/>
    <n v="375.56"/>
    <n v="227.08"/>
    <n v="148.47999999999999"/>
    <m/>
    <n v="5"/>
    <s v="Met"/>
    <x v="1"/>
    <n v="1"/>
    <x v="0"/>
  </r>
  <r>
    <s v="TXN-10374"/>
    <d v="2024-11-24T00:00:00"/>
    <x v="3"/>
    <s v="Nur Aina"/>
    <x v="4"/>
    <s v="Electronics"/>
    <n v="1152.78"/>
    <n v="859.19"/>
    <n v="293.58999999999997"/>
    <m/>
    <n v="5"/>
    <s v="Met"/>
    <x v="8"/>
    <n v="4"/>
    <x v="0"/>
  </r>
  <r>
    <s v="TXN-10312"/>
    <d v="2024-01-23T00:00:00"/>
    <x v="2"/>
    <s v="Muthu Kannan"/>
    <x v="3"/>
    <s v="Groceries"/>
    <n v="2723.67"/>
    <n v="2453.1999999999998"/>
    <n v="270.47000000000003"/>
    <n v="6"/>
    <n v="2"/>
    <s v="Met"/>
    <x v="1"/>
    <n v="1"/>
    <x v="1"/>
  </r>
  <r>
    <s v="TXN-10769"/>
    <d v="2024-03-28T00:00:00"/>
    <x v="1"/>
    <s v="Eddy Chong"/>
    <x v="3"/>
    <s v="Electronics"/>
    <n v="224.09"/>
    <n v="148.37"/>
    <n v="75.72"/>
    <m/>
    <n v="5"/>
    <s v="Missed"/>
    <x v="6"/>
    <n v="1"/>
    <x v="0"/>
  </r>
  <r>
    <s v="TXN-10909"/>
    <d v="2024-06-27T00:00:00"/>
    <x v="1"/>
    <s v="Vikram Singh"/>
    <x v="5"/>
    <s v="Groceries"/>
    <n v="1165.71"/>
    <n v="706.51"/>
    <n v="459.2"/>
    <m/>
    <n v="4"/>
    <s v="Met"/>
    <x v="4"/>
    <n v="2"/>
    <x v="0"/>
  </r>
  <r>
    <s v="TXN-10694"/>
    <d v="2024-06-19T00:00:00"/>
    <x v="1"/>
    <s v="Lee Jia Hui"/>
    <x v="0"/>
    <s v="Electronics"/>
    <n v="3542.2"/>
    <n v="2028.26"/>
    <n v="1513.94"/>
    <m/>
    <n v="3"/>
    <s v="Missed"/>
    <x v="4"/>
    <n v="2"/>
    <x v="0"/>
  </r>
  <r>
    <s v="TXN-10616"/>
    <d v="2024-12-06T00:00:00"/>
    <x v="1"/>
    <s v="Uknown"/>
    <x v="4"/>
    <s v="Groceries"/>
    <n v="694.73"/>
    <n v="466.65"/>
    <n v="228.08"/>
    <m/>
    <n v="3"/>
    <s v="Met"/>
    <x v="11"/>
    <n v="4"/>
    <x v="1"/>
  </r>
  <r>
    <s v="TXN-10372"/>
    <d v="2024-09-30T00:00:00"/>
    <x v="0"/>
    <s v="Karthik Selvam"/>
    <x v="2"/>
    <s v="Automotive Parts"/>
    <n v="1160.23"/>
    <n v="905.11"/>
    <n v="255.12"/>
    <m/>
    <m/>
    <s v="Met"/>
    <x v="9"/>
    <n v="3"/>
    <x v="0"/>
  </r>
  <r>
    <s v="TXN-10378"/>
    <d v="2024-05-27T00:00:00"/>
    <x v="0"/>
    <s v="Tan Chee Keong"/>
    <x v="5"/>
    <s v="Groceries"/>
    <n v="1547.48"/>
    <n v="1041.4100000000001"/>
    <n v="506.07"/>
    <n v="8"/>
    <n v="5"/>
    <s v="Missed"/>
    <x v="7"/>
    <n v="2"/>
    <x v="1"/>
  </r>
  <r>
    <s v="TXN-10578"/>
    <d v="2024-11-03T00:00:00"/>
    <x v="2"/>
    <s v="Priya Devi"/>
    <x v="4"/>
    <s v="Groceries"/>
    <n v="2743.59"/>
    <n v="1958.18"/>
    <n v="785.41"/>
    <m/>
    <n v="3"/>
    <s v="Missed"/>
    <x v="8"/>
    <n v="4"/>
    <x v="0"/>
  </r>
  <r>
    <s v="TXN-10207"/>
    <d v="2024-12-31T00:00:00"/>
    <x v="1"/>
    <s v="Nurul Huda"/>
    <x v="0"/>
    <s v="Furniture"/>
    <n v="894.92"/>
    <n v="611.82000000000005"/>
    <n v="283.10000000000002"/>
    <m/>
    <n v="4"/>
    <s v="Met"/>
    <x v="11"/>
    <n v="4"/>
    <x v="0"/>
  </r>
  <r>
    <s v="TXN-10830"/>
    <d v="2024-12-13T00:00:00"/>
    <x v="2"/>
    <s v="Amir Hakim"/>
    <x v="0"/>
    <s v="Electronics"/>
    <n v="1786.36"/>
    <n v="1420.42"/>
    <n v="365.94"/>
    <m/>
    <n v="4"/>
    <s v="Missed"/>
    <x v="11"/>
    <n v="4"/>
    <x v="0"/>
  </r>
  <r>
    <s v="TXN-10789"/>
    <d v="2024-02-23T00:00:00"/>
    <x v="4"/>
    <s v="Lim Pei Yi"/>
    <x v="4"/>
    <s v="Electronics"/>
    <n v="2442.46"/>
    <n v="1346.96"/>
    <n v="1095.5"/>
    <m/>
    <n v="5"/>
    <s v="Missed"/>
    <x v="10"/>
    <n v="1"/>
    <x v="0"/>
  </r>
  <r>
    <s v="TXN-10480"/>
    <d v="2024-04-17T00:00:00"/>
    <x v="2"/>
    <s v="Amir Hakim"/>
    <x v="3"/>
    <s v="Electronics"/>
    <n v="1739.37"/>
    <n v="1414.95"/>
    <n v="324.42"/>
    <m/>
    <n v="5"/>
    <s v="Missed"/>
    <x v="0"/>
    <n v="2"/>
    <x v="0"/>
  </r>
  <r>
    <s v="TXN-10224"/>
    <d v="2024-12-02T00:00:00"/>
    <x v="1"/>
    <s v="Farhana Ismail"/>
    <x v="2"/>
    <s v="Groceries"/>
    <n v="1367.04"/>
    <n v="906.53"/>
    <n v="460.51"/>
    <m/>
    <n v="4"/>
    <s v="Met"/>
    <x v="11"/>
    <n v="4"/>
    <x v="0"/>
  </r>
  <r>
    <s v="TXN-10825"/>
    <d v="2024-01-22T00:00:00"/>
    <x v="0"/>
    <s v="Tan Chee Keong"/>
    <x v="0"/>
    <s v="Electronic"/>
    <n v="1447.96"/>
    <n v="835.01"/>
    <n v="612.95000000000005"/>
    <m/>
    <n v="5"/>
    <s v="Met"/>
    <x v="1"/>
    <n v="1"/>
    <x v="0"/>
  </r>
  <r>
    <s v="TXN-10583"/>
    <d v="2024-09-14T00:00:00"/>
    <x v="3"/>
    <s v="Wei Jian"/>
    <x v="4"/>
    <s v="Automotive Parts"/>
    <n v="2893.82"/>
    <n v="1681.85"/>
    <n v="1211.97"/>
    <m/>
    <n v="4"/>
    <s v="Met"/>
    <x v="9"/>
    <n v="3"/>
    <x v="0"/>
  </r>
  <r>
    <s v="TXN-10718"/>
    <d v="2024-03-22T00:00:00"/>
    <x v="4"/>
    <s v="Faisal Rashid"/>
    <x v="4"/>
    <s v="Automotive Parts"/>
    <n v="2051.59"/>
    <n v="1284.68"/>
    <n v="766.91"/>
    <m/>
    <n v="5"/>
    <s v="Missed"/>
    <x v="6"/>
    <n v="1"/>
    <x v="0"/>
  </r>
  <r>
    <s v="TXN-10318"/>
    <d v="2024-08-26T00:00:00"/>
    <x v="2"/>
    <s v="Chong Kah Wei"/>
    <x v="5"/>
    <s v="Electronics"/>
    <n v="2899.29"/>
    <n v="2570.44"/>
    <n v="328.85"/>
    <m/>
    <n v="4"/>
    <s v="Met"/>
    <x v="2"/>
    <n v="3"/>
    <x v="0"/>
  </r>
  <r>
    <s v="TXN-10150"/>
    <d v="2024-08-31T00:00:00"/>
    <x v="2"/>
    <s v="Amir Hakim"/>
    <x v="2"/>
    <s v="Groceries"/>
    <n v="477.04"/>
    <n v="409.7"/>
    <n v="67.34"/>
    <n v="7"/>
    <n v="3"/>
    <s v="Met"/>
    <x v="2"/>
    <n v="3"/>
    <x v="1"/>
  </r>
  <r>
    <s v="TXN-10922"/>
    <d v="2024-02-17T00:00:00"/>
    <x v="3"/>
    <s v="Farah Aziz"/>
    <x v="4"/>
    <s v="Groceries"/>
    <n v="1019.86"/>
    <n v="645.59"/>
    <n v="374.27"/>
    <m/>
    <n v="5"/>
    <s v="Met"/>
    <x v="10"/>
    <n v="1"/>
    <x v="0"/>
  </r>
  <r>
    <s v="TXN-10017"/>
    <d v="2024-07-08T00:00:00"/>
    <x v="4"/>
    <s v="Aina Sofea"/>
    <x v="5"/>
    <s v="Automotive Parts"/>
    <n v="1104.71"/>
    <n v="728.61"/>
    <n v="376.1"/>
    <m/>
    <n v="5"/>
    <s v="Missed"/>
    <x v="3"/>
    <n v="3"/>
    <x v="0"/>
  </r>
  <r>
    <s v="TXN-10293"/>
    <d v="2024-06-02T00:00:00"/>
    <x v="2"/>
    <s v="Jasmine Wong"/>
    <x v="0"/>
    <s v="Electronics"/>
    <n v="636.41999999999996"/>
    <n v="574.01"/>
    <n v="62.41"/>
    <m/>
    <n v="3"/>
    <s v="Met"/>
    <x v="4"/>
    <n v="2"/>
    <x v="0"/>
  </r>
  <r>
    <s v="TXN-10458"/>
    <d v="2024-12-26T00:00:00"/>
    <x v="0"/>
    <s v="Maya Devi"/>
    <x v="2"/>
    <s v="Automotive Parts"/>
    <n v="1788.07"/>
    <n v="1159.02"/>
    <n v="629.04999999999995"/>
    <m/>
    <n v="3"/>
    <s v="Missed"/>
    <x v="11"/>
    <n v="4"/>
    <x v="0"/>
  </r>
  <r>
    <s v="TXN-10290"/>
    <d v="2024-09-30T00:00:00"/>
    <x v="1"/>
    <s v="Uknown"/>
    <x v="4"/>
    <s v="Groceries"/>
    <n v="3494.75"/>
    <n v="2309.17"/>
    <n v="1185.58"/>
    <m/>
    <n v="5"/>
    <s v="Met"/>
    <x v="9"/>
    <n v="3"/>
    <x v="0"/>
  </r>
  <r>
    <s v="TXN-10860"/>
    <d v="2024-04-15T00:00:00"/>
    <x v="3"/>
    <s v="Raj Kumar"/>
    <x v="2"/>
    <s v="Apparel"/>
    <n v="3104.05"/>
    <n v="2088.65"/>
    <n v="1015.4"/>
    <m/>
    <n v="5"/>
    <s v="Met"/>
    <x v="0"/>
    <n v="2"/>
    <x v="0"/>
  </r>
  <r>
    <s v="TXN-10478"/>
    <d v="2024-05-30T00:00:00"/>
    <x v="3"/>
    <s v="Daniel Tan"/>
    <x v="4"/>
    <s v="Automotive Parts"/>
    <n v="2972.72"/>
    <n v="2016.09"/>
    <n v="956.63"/>
    <m/>
    <n v="3"/>
    <s v="Missed"/>
    <x v="7"/>
    <n v="2"/>
    <x v="0"/>
  </r>
  <r>
    <s v="TXN-10758"/>
    <d v="2024-06-17T00:00:00"/>
    <x v="4"/>
    <s v="Brandon Ong"/>
    <x v="4"/>
    <s v="Groceries"/>
    <n v="1555.81"/>
    <n v="1180.98"/>
    <n v="374.83"/>
    <n v="8"/>
    <n v="2"/>
    <s v="Met"/>
    <x v="4"/>
    <n v="2"/>
    <x v="1"/>
  </r>
  <r>
    <s v="TXN-10225"/>
    <d v="2024-07-28T00:00:00"/>
    <x v="0"/>
    <s v="Tan Chee Keong"/>
    <x v="0"/>
    <s v="Apparel"/>
    <n v="508.32"/>
    <n v="357.2"/>
    <n v="151.12"/>
    <n v="4"/>
    <n v="2"/>
    <s v="Met"/>
    <x v="3"/>
    <n v="3"/>
    <x v="1"/>
  </r>
  <r>
    <s v="TXN-10797"/>
    <d v="2024-11-12T00:00:00"/>
    <x v="0"/>
    <s v="Noraini Yaakob"/>
    <x v="5"/>
    <s v="Groceries"/>
    <n v="1522.43"/>
    <n v="1051.1099999999999"/>
    <n v="471.32"/>
    <m/>
    <n v="5"/>
    <s v="Met"/>
    <x v="8"/>
    <n v="4"/>
    <x v="0"/>
  </r>
  <r>
    <s v="TXN-10384"/>
    <d v="2024-01-17T00:00:00"/>
    <x v="0"/>
    <s v="Hock Seng"/>
    <x v="5"/>
    <s v="Electronics"/>
    <n v="2806.73"/>
    <n v="1904"/>
    <n v="902.73"/>
    <m/>
    <n v="2"/>
    <s v="Met"/>
    <x v="1"/>
    <n v="1"/>
    <x v="0"/>
  </r>
  <r>
    <s v="TXN-10641"/>
    <d v="2024-01-10T00:00:00"/>
    <x v="4"/>
    <s v="Lim Pei Yi"/>
    <x v="2"/>
    <s v="Furniture"/>
    <n v="3040.29"/>
    <n v="1964.53"/>
    <n v="1075.76"/>
    <n v="8"/>
    <n v="3"/>
    <s v="Missed"/>
    <x v="1"/>
    <n v="1"/>
    <x v="1"/>
  </r>
  <r>
    <s v="TXN-10269"/>
    <d v="2024-05-13T00:00:00"/>
    <x v="3"/>
    <s v="Nur Aina"/>
    <x v="3"/>
    <s v="Apparel"/>
    <n v="1359.22"/>
    <n v="937.98"/>
    <n v="421.24"/>
    <m/>
    <n v="4"/>
    <s v="Met"/>
    <x v="7"/>
    <n v="2"/>
    <x v="0"/>
  </r>
  <r>
    <s v="TXN-10133"/>
    <d v="2024-12-16T00:00:00"/>
    <x v="0"/>
    <s v="Noraini Yaakob"/>
    <x v="2"/>
    <s v="Groceries"/>
    <n v="1280.8399999999999"/>
    <n v="948.9"/>
    <n v="331.94"/>
    <m/>
    <n v="4"/>
    <s v="Missed"/>
    <x v="11"/>
    <n v="4"/>
    <x v="0"/>
  </r>
  <r>
    <s v="TXN-10234"/>
    <d v="2024-11-16T00:00:00"/>
    <x v="2"/>
    <s v="Amir Hakim"/>
    <x v="4"/>
    <s v="Groceries"/>
    <n v="2212.29"/>
    <n v="1870.75"/>
    <n v="341.54"/>
    <m/>
    <n v="3"/>
    <s v="Met"/>
    <x v="8"/>
    <n v="4"/>
    <x v="0"/>
  </r>
  <r>
    <s v="TXN-10160"/>
    <d v="2024-06-16T00:00:00"/>
    <x v="4"/>
    <s v="Nabilah Yusof"/>
    <x v="3"/>
    <s v="Automotive Parts"/>
    <n v="2099.5500000000002"/>
    <n v="1610.83"/>
    <n v="488.72"/>
    <m/>
    <n v="5"/>
    <s v="Met"/>
    <x v="4"/>
    <n v="2"/>
    <x v="0"/>
  </r>
  <r>
    <s v="TXN-10679"/>
    <d v="2024-04-17T00:00:00"/>
    <x v="1"/>
    <s v="Vikram Singh"/>
    <x v="1"/>
    <s v="Automotive Parts"/>
    <n v="713.13"/>
    <n v="531.88"/>
    <n v="181.25"/>
    <n v="3"/>
    <n v="1"/>
    <s v="Met"/>
    <x v="0"/>
    <n v="2"/>
    <x v="1"/>
  </r>
  <r>
    <s v="TXN-10803"/>
    <d v="2024-02-24T00:00:00"/>
    <x v="3"/>
    <s v="Daniel Tan"/>
    <x v="5"/>
    <s v="Apparel"/>
    <n v="963.92"/>
    <n v="572.84"/>
    <n v="391.08"/>
    <n v="2"/>
    <n v="4"/>
    <s v="Missed"/>
    <x v="10"/>
    <n v="1"/>
    <x v="1"/>
  </r>
  <r>
    <s v="TXN-10257"/>
    <d v="2024-07-24T00:00:00"/>
    <x v="2"/>
    <s v="Uknown"/>
    <x v="5"/>
    <s v="Electronics"/>
    <n v="4259.3900000000003"/>
    <n v="3556.96"/>
    <n v="702.43"/>
    <n v="3"/>
    <n v="4"/>
    <s v="Met"/>
    <x v="3"/>
    <n v="3"/>
    <x v="1"/>
  </r>
  <r>
    <s v="TXN-10856"/>
    <d v="2024-01-28T00:00:00"/>
    <x v="2"/>
    <s v="Jasmine Wong"/>
    <x v="0"/>
    <s v="Electronics"/>
    <n v="287.47000000000003"/>
    <n v="205.67"/>
    <n v="81.8"/>
    <m/>
    <n v="5"/>
    <s v="Met"/>
    <x v="1"/>
    <n v="1"/>
    <x v="0"/>
  </r>
  <r>
    <s v="TXN-10581"/>
    <d v="2024-06-11T00:00:00"/>
    <x v="4"/>
    <s v="Goh Wen Xin"/>
    <x v="1"/>
    <s v="Automotive Parts"/>
    <n v="197.53"/>
    <n v="152.91"/>
    <n v="44.62"/>
    <m/>
    <n v="5"/>
    <s v="Met"/>
    <x v="4"/>
    <n v="2"/>
    <x v="0"/>
  </r>
  <r>
    <s v="TXN-10568"/>
    <d v="2024-12-20T00:00:00"/>
    <x v="1"/>
    <s v="Anand Raj"/>
    <x v="2"/>
    <s v="Apparel"/>
    <n v="1719.26"/>
    <n v="1080.21"/>
    <n v="639.04999999999995"/>
    <m/>
    <n v="5"/>
    <s v="Met"/>
    <x v="11"/>
    <n v="4"/>
    <x v="0"/>
  </r>
  <r>
    <s v="TXN-10238"/>
    <d v="2024-12-25T00:00:00"/>
    <x v="0"/>
    <s v="Maya Devi"/>
    <x v="5"/>
    <s v="Electronics"/>
    <n v="4669.4799999999996"/>
    <n v="3076.3"/>
    <n v="1593.18"/>
    <m/>
    <n v="4"/>
    <s v="Met"/>
    <x v="11"/>
    <n v="4"/>
    <x v="0"/>
  </r>
  <r>
    <s v="TXN-10110"/>
    <d v="2024-12-18T00:00:00"/>
    <x v="1"/>
    <s v="Syafiq Azman"/>
    <x v="4"/>
    <s v="Apparel"/>
    <n v="2258.02"/>
    <n v="1578.87"/>
    <n v="679.15"/>
    <m/>
    <n v="5"/>
    <s v="Met"/>
    <x v="11"/>
    <n v="4"/>
    <x v="0"/>
  </r>
  <r>
    <s v="TXN-10065"/>
    <d v="2024-08-20T00:00:00"/>
    <x v="4"/>
    <s v="Lim Pei Yi"/>
    <x v="0"/>
    <s v="Automotive Parts"/>
    <n v="457.11"/>
    <n v="275.64999999999998"/>
    <n v="181.46"/>
    <n v="3"/>
    <n v="4"/>
    <s v="Met"/>
    <x v="2"/>
    <n v="3"/>
    <x v="1"/>
  </r>
  <r>
    <s v="TXN-10496"/>
    <d v="2024-04-29T00:00:00"/>
    <x v="0"/>
    <s v="Hock Seng"/>
    <x v="2"/>
    <s v="Groceries"/>
    <n v="1836.46"/>
    <n v="1333.56"/>
    <n v="502.9"/>
    <n v="5"/>
    <n v="2"/>
    <s v="Met"/>
    <x v="0"/>
    <n v="2"/>
    <x v="1"/>
  </r>
  <r>
    <s v="TXN-10868"/>
    <d v="2024-07-25T00:00:00"/>
    <x v="0"/>
    <s v="Wong Li Ting"/>
    <x v="2"/>
    <s v="Groceries"/>
    <n v="3127.46"/>
    <n v="2084.94"/>
    <n v="1042.52"/>
    <m/>
    <n v="5"/>
    <s v="Met"/>
    <x v="3"/>
    <n v="3"/>
    <x v="0"/>
  </r>
  <r>
    <s v="TXN-10264"/>
    <d v="2024-02-24T00:00:00"/>
    <x v="2"/>
    <s v="Amir Hakim"/>
    <x v="2"/>
    <s v="Furniture"/>
    <n v="551.59"/>
    <n v="395.64"/>
    <n v="155.94999999999999"/>
    <m/>
    <n v="4"/>
    <s v="Missed"/>
    <x v="10"/>
    <n v="1"/>
    <x v="0"/>
  </r>
  <r>
    <s v="TXN-10697"/>
    <d v="2024-07-07T00:00:00"/>
    <x v="1"/>
    <s v="Eddy Chong"/>
    <x v="0"/>
    <s v="Apparel"/>
    <n v="1363.64"/>
    <n v="920.95"/>
    <n v="442.69"/>
    <m/>
    <n v="5"/>
    <s v="Met"/>
    <x v="3"/>
    <n v="3"/>
    <x v="0"/>
  </r>
  <r>
    <s v="TXN-10809"/>
    <d v="2024-04-07T00:00:00"/>
    <x v="4"/>
    <s v="Brandon Ong"/>
    <x v="3"/>
    <s v="Furniture"/>
    <n v="914.17"/>
    <n v="541.77"/>
    <n v="372.4"/>
    <m/>
    <n v="4"/>
    <s v="Met"/>
    <x v="0"/>
    <n v="2"/>
    <x v="0"/>
  </r>
  <r>
    <s v="TXN-10768"/>
    <d v="2024-06-09T00:00:00"/>
    <x v="1"/>
    <s v="Vikram Singh"/>
    <x v="1"/>
    <s v="Groceries"/>
    <n v="501.11"/>
    <n v="379.13"/>
    <n v="121.98"/>
    <m/>
    <n v="5"/>
    <s v="Met"/>
    <x v="4"/>
    <n v="2"/>
    <x v="0"/>
  </r>
  <r>
    <s v="TXN-10663"/>
    <d v="2024-07-19T00:00:00"/>
    <x v="0"/>
    <s v="Izzat Fikri"/>
    <x v="3"/>
    <s v="Apparel"/>
    <n v="2152.77"/>
    <n v="1476.48"/>
    <n v="676.29"/>
    <n v="5"/>
    <n v="2"/>
    <s v="Met"/>
    <x v="3"/>
    <n v="3"/>
    <x v="1"/>
  </r>
  <r>
    <s v="TXN-10698"/>
    <d v="2024-06-08T00:00:00"/>
    <x v="2"/>
    <s v="Chong Kah Wei"/>
    <x v="3"/>
    <s v="Electronics"/>
    <n v="2222.89"/>
    <n v="1573.05"/>
    <n v="649.84"/>
    <n v="7"/>
    <n v="4"/>
    <s v="Missed"/>
    <x v="4"/>
    <n v="2"/>
    <x v="1"/>
  </r>
  <r>
    <s v="TXN-10947"/>
    <d v="2024-05-31T00:00:00"/>
    <x v="0"/>
    <s v="Karthik Selvam"/>
    <x v="5"/>
    <s v="Automotive Parts"/>
    <n v="636.36"/>
    <n v="474.65"/>
    <n v="161.71"/>
    <m/>
    <n v="3"/>
    <s v="Met"/>
    <x v="7"/>
    <n v="2"/>
    <x v="0"/>
  </r>
  <r>
    <s v="TXN-10456"/>
    <d v="2024-09-30T00:00:00"/>
    <x v="4"/>
    <s v="Nabilah Yusof"/>
    <x v="5"/>
    <s v="Electronics"/>
    <n v="2759.67"/>
    <n v="1790.55"/>
    <n v="969.12"/>
    <m/>
    <n v="5"/>
    <s v="Met"/>
    <x v="9"/>
    <n v="3"/>
    <x v="0"/>
  </r>
  <r>
    <s v="TXN-10924"/>
    <d v="2024-11-22T00:00:00"/>
    <x v="3"/>
    <s v="Daniel Tan"/>
    <x v="4"/>
    <s v="Electronics"/>
    <n v="2701.81"/>
    <n v="1614.62"/>
    <n v="1087.19"/>
    <m/>
    <n v="5"/>
    <s v="Missed"/>
    <x v="8"/>
    <n v="4"/>
    <x v="0"/>
  </r>
  <r>
    <s v="TXN-10311"/>
    <d v="2024-08-20T00:00:00"/>
    <x v="1"/>
    <s v="Lee Jia Hui"/>
    <x v="1"/>
    <s v="Automotive Parts"/>
    <n v="452.1"/>
    <n v="285.27999999999997"/>
    <n v="166.82"/>
    <m/>
    <n v="3"/>
    <s v="Met"/>
    <x v="2"/>
    <n v="3"/>
    <x v="0"/>
  </r>
  <r>
    <s v="TXN-10904"/>
    <d v="2024-01-31T00:00:00"/>
    <x v="2"/>
    <s v="Chong Kah Wei"/>
    <x v="3"/>
    <s v="Groceries"/>
    <n v="1589.57"/>
    <n v="1327.16"/>
    <n v="262.41000000000003"/>
    <n v="9"/>
    <n v="2"/>
    <s v="Met"/>
    <x v="1"/>
    <n v="1"/>
    <x v="1"/>
  </r>
  <r>
    <s v="TXN-10811"/>
    <d v="2024-10-08T00:00:00"/>
    <x v="0"/>
    <s v="Noraini Yaakob"/>
    <x v="3"/>
    <s v="Electronics"/>
    <n v="1422.05"/>
    <n v="997.86"/>
    <n v="424.19"/>
    <m/>
    <n v="3"/>
    <s v="Met"/>
    <x v="5"/>
    <n v="4"/>
    <x v="0"/>
  </r>
  <r>
    <s v="TXN-10762"/>
    <d v="2024-07-24T00:00:00"/>
    <x v="1"/>
    <s v="Lee Jia Hui"/>
    <x v="1"/>
    <s v="Furniture"/>
    <n v="2673.62"/>
    <n v="1992.49"/>
    <n v="681.13"/>
    <m/>
    <n v="4"/>
    <s v="Met"/>
    <x v="3"/>
    <n v="3"/>
    <x v="0"/>
  </r>
  <r>
    <s v="TXN-10858"/>
    <d v="2024-03-23T00:00:00"/>
    <x v="1"/>
    <s v="Syafiq Azman"/>
    <x v="2"/>
    <s v="Electronics"/>
    <n v="455.45"/>
    <n v="334.81"/>
    <n v="120.64"/>
    <m/>
    <n v="4"/>
    <s v="Met"/>
    <x v="6"/>
    <n v="1"/>
    <x v="0"/>
  </r>
  <r>
    <s v="TXN-10926"/>
    <d v="2024-01-21T00:00:00"/>
    <x v="3"/>
    <s v="Aisha Rahman"/>
    <x v="4"/>
    <s v="Furniture"/>
    <n v="1848.93"/>
    <n v="1232.92"/>
    <n v="616.01"/>
    <m/>
    <n v="5"/>
    <s v="Met"/>
    <x v="1"/>
    <n v="1"/>
    <x v="0"/>
  </r>
  <r>
    <s v="TXN-10866"/>
    <d v="2024-04-05T00:00:00"/>
    <x v="2"/>
    <s v="Muthu Kannan"/>
    <x v="0"/>
    <s v="Groceries"/>
    <n v="972.92"/>
    <n v="682.92"/>
    <n v="290"/>
    <m/>
    <n v="2"/>
    <s v="Met"/>
    <x v="0"/>
    <n v="2"/>
    <x v="0"/>
  </r>
  <r>
    <s v="TXN-10611"/>
    <d v="2024-08-30T00:00:00"/>
    <x v="3"/>
    <s v="Kevin Lim"/>
    <x v="2"/>
    <s v="Furniture"/>
    <n v="2103.58"/>
    <n v="1413.77"/>
    <n v="689.81"/>
    <m/>
    <n v="4"/>
    <s v="Met"/>
    <x v="2"/>
    <n v="3"/>
    <x v="1"/>
  </r>
  <r>
    <s v="TXN-10413"/>
    <d v="2024-08-02T00:00:00"/>
    <x v="4"/>
    <s v="Lim Pei Yi"/>
    <x v="1"/>
    <s v="Groceries"/>
    <n v="754.24"/>
    <n v="564.26"/>
    <n v="189.98"/>
    <m/>
    <n v="5"/>
    <s v="Met"/>
    <x v="2"/>
    <n v="3"/>
    <x v="0"/>
  </r>
  <r>
    <s v="TXN-10820"/>
    <d v="2024-03-12T00:00:00"/>
    <x v="0"/>
    <s v="Tan Chee Keong"/>
    <x v="5"/>
    <s v="Automotive Parts"/>
    <n v="657.76"/>
    <n v="447.73"/>
    <n v="210.03"/>
    <n v="6"/>
    <n v="2"/>
    <s v="Met"/>
    <x v="6"/>
    <n v="1"/>
    <x v="1"/>
  </r>
  <r>
    <s v="TXN-10515"/>
    <d v="2024-12-06T00:00:00"/>
    <x v="4"/>
    <s v="Nabilah Yusof"/>
    <x v="0"/>
    <s v="Apparel"/>
    <n v="1745.61"/>
    <n v="1351.76"/>
    <n v="393.85"/>
    <m/>
    <n v="5"/>
    <s v="Met"/>
    <x v="11"/>
    <n v="4"/>
    <x v="0"/>
  </r>
  <r>
    <s v="TXN-10431"/>
    <d v="2024-09-27T00:00:00"/>
    <x v="0"/>
    <s v="Maya Devi"/>
    <x v="0"/>
    <s v="Apparel"/>
    <n v="213.72"/>
    <n v="148.34"/>
    <n v="65.38"/>
    <m/>
    <n v="5"/>
    <s v="Missed"/>
    <x v="9"/>
    <n v="3"/>
    <x v="0"/>
  </r>
  <r>
    <s v="TXN-10880"/>
    <d v="2024-03-25T00:00:00"/>
    <x v="2"/>
    <s v="Uknown"/>
    <x v="4"/>
    <s v="Electronics"/>
    <n v="1275.97"/>
    <n v="1061.04"/>
    <n v="214.93"/>
    <m/>
    <n v="3"/>
    <s v="Met"/>
    <x v="6"/>
    <n v="1"/>
    <x v="0"/>
  </r>
  <r>
    <s v="TXN-10677"/>
    <d v="2024-11-21T00:00:00"/>
    <x v="1"/>
    <s v="Vikram Singh"/>
    <x v="0"/>
    <s v="Electronics"/>
    <n v="2689.02"/>
    <n v="1901.69"/>
    <n v="787.33"/>
    <m/>
    <n v="5"/>
    <s v="Met"/>
    <x v="8"/>
    <n v="4"/>
    <x v="0"/>
  </r>
  <r>
    <s v="TXN-10872"/>
    <d v="2024-02-21T00:00:00"/>
    <x v="4"/>
    <s v="Aina Sofea"/>
    <x v="2"/>
    <s v="Electronics"/>
    <n v="638.9"/>
    <n v="464.98"/>
    <n v="173.92"/>
    <n v="7"/>
    <n v="2"/>
    <s v="Met"/>
    <x v="10"/>
    <n v="1"/>
    <x v="1"/>
  </r>
  <r>
    <s v="TXN-10057"/>
    <d v="2024-05-10T00:00:00"/>
    <x v="2"/>
    <s v="Amir Hakim"/>
    <x v="0"/>
    <s v="Groceries"/>
    <n v="1689.56"/>
    <n v="1430.56"/>
    <n v="259"/>
    <m/>
    <m/>
    <s v="Met"/>
    <x v="7"/>
    <n v="2"/>
    <x v="0"/>
  </r>
  <r>
    <s v="TXN-10575"/>
    <d v="2024-12-14T00:00:00"/>
    <x v="0"/>
    <s v="Wong Li Ting"/>
    <x v="3"/>
    <s v="Automotive Parts"/>
    <n v="582.1"/>
    <n v="373.52"/>
    <n v="208.58"/>
    <m/>
    <n v="4"/>
    <s v="Met"/>
    <x v="11"/>
    <n v="4"/>
    <x v="0"/>
  </r>
  <r>
    <s v="TXN-10295"/>
    <d v="2024-03-17T00:00:00"/>
    <x v="3"/>
    <s v="Farah Aziz"/>
    <x v="4"/>
    <s v="Groceries"/>
    <n v="1244.8900000000001"/>
    <n v="901.85"/>
    <n v="343.04"/>
    <n v="7"/>
    <n v="5"/>
    <s v="Met"/>
    <x v="6"/>
    <n v="1"/>
    <x v="1"/>
  </r>
  <r>
    <s v="TXN-10681"/>
    <d v="2024-08-11T00:00:00"/>
    <x v="4"/>
    <s v="Nabilah Yusof"/>
    <x v="1"/>
    <s v="Electronics"/>
    <n v="2882.34"/>
    <n v="2153.8000000000002"/>
    <n v="728.54"/>
    <m/>
    <n v="4"/>
    <s v="Missed"/>
    <x v="2"/>
    <n v="3"/>
    <x v="0"/>
  </r>
  <r>
    <s v="TXN-10055"/>
    <d v="2024-02-05T00:00:00"/>
    <x v="0"/>
    <s v="Izzat Fikri"/>
    <x v="2"/>
    <s v="Electronics"/>
    <n v="936.48"/>
    <n v="675.3"/>
    <n v="261.18"/>
    <m/>
    <n v="4"/>
    <s v="Missed"/>
    <x v="10"/>
    <n v="1"/>
    <x v="0"/>
  </r>
  <r>
    <s v="TXN-10675"/>
    <d v="2024-03-25T00:00:00"/>
    <x v="1"/>
    <s v="Vikram Singh"/>
    <x v="4"/>
    <s v="Groceries"/>
    <n v="624.08000000000004"/>
    <n v="424.88"/>
    <n v="199.2"/>
    <m/>
    <n v="4"/>
    <s v="Met"/>
    <x v="6"/>
    <n v="1"/>
    <x v="0"/>
  </r>
  <r>
    <s v="TXN-10019"/>
    <d v="2024-11-22T00:00:00"/>
    <x v="3"/>
    <s v="Wei Jian"/>
    <x v="4"/>
    <s v="Apparel"/>
    <n v="3432.32"/>
    <n v="2026.43"/>
    <n v="1405.89"/>
    <m/>
    <n v="1"/>
    <s v="Missed"/>
    <x v="8"/>
    <n v="4"/>
    <x v="0"/>
  </r>
  <r>
    <s v="TXN-10196"/>
    <d v="2024-07-21T00:00:00"/>
    <x v="2"/>
    <s v="Muthu Kannan"/>
    <x v="3"/>
    <s v="Furniture"/>
    <n v="3174.3"/>
    <n v="2720.84"/>
    <n v="453.46"/>
    <n v="6"/>
    <n v="5"/>
    <s v="Met"/>
    <x v="3"/>
    <n v="3"/>
    <x v="1"/>
  </r>
  <r>
    <s v="TXN-10646"/>
    <d v="2024-11-18T00:00:00"/>
    <x v="4"/>
    <s v="Suresh Pillai"/>
    <x v="3"/>
    <s v="Electronics"/>
    <n v="1142.19"/>
    <n v="815.52"/>
    <n v="326.67"/>
    <n v="8"/>
    <n v="3"/>
    <s v="Missed"/>
    <x v="8"/>
    <n v="4"/>
    <x v="0"/>
  </r>
  <r>
    <s v="TXN-10180"/>
    <d v="2024-07-24T00:00:00"/>
    <x v="2"/>
    <s v="Zulkifli Hassan"/>
    <x v="0"/>
    <s v="Electronics"/>
    <n v="2054.44"/>
    <n v="1729.49"/>
    <n v="324.95"/>
    <m/>
    <n v="5"/>
    <s v="Missed"/>
    <x v="3"/>
    <n v="3"/>
    <x v="0"/>
  </r>
  <r>
    <s v="TXN-10734"/>
    <d v="2024-01-25T00:00:00"/>
    <x v="0"/>
    <s v="Wong Li Ting"/>
    <x v="3"/>
    <s v="Apparel"/>
    <n v="2936.11"/>
    <n v="1659.11"/>
    <n v="1277"/>
    <n v="1"/>
    <n v="5"/>
    <s v="Met"/>
    <x v="1"/>
    <n v="1"/>
    <x v="1"/>
  </r>
  <r>
    <s v="TXN-10300"/>
    <d v="2024-01-31T00:00:00"/>
    <x v="1"/>
    <s v="Syafiq Azman"/>
    <x v="5"/>
    <s v="Electronics"/>
    <n v="1101.45"/>
    <n v="823.11"/>
    <n v="278.33999999999997"/>
    <n v="1"/>
    <n v="1"/>
    <s v="Met"/>
    <x v="1"/>
    <n v="1"/>
    <x v="1"/>
  </r>
  <r>
    <s v="TXN-10779"/>
    <d v="2024-06-13T00:00:00"/>
    <x v="0"/>
    <s v="Izzat Fikri"/>
    <x v="5"/>
    <s v="Groceries"/>
    <n v="2030.2"/>
    <n v="1426.04"/>
    <n v="604.16"/>
    <m/>
    <n v="4"/>
    <s v="Met"/>
    <x v="4"/>
    <n v="2"/>
    <x v="0"/>
  </r>
  <r>
    <s v="TXN-10355"/>
    <d v="2024-09-06T00:00:00"/>
    <x v="0"/>
    <s v="Izzat Fikri"/>
    <x v="0"/>
    <s v="Electronics"/>
    <n v="526.59"/>
    <n v="411.55"/>
    <n v="115.04"/>
    <m/>
    <n v="5"/>
    <s v="Met"/>
    <x v="9"/>
    <n v="3"/>
    <x v="0"/>
  </r>
  <r>
    <s v="TXN-10424"/>
    <d v="2024-11-27T00:00:00"/>
    <x v="2"/>
    <s v="Chong Kah Wei"/>
    <x v="3"/>
    <s v="Groceries"/>
    <n v="1907.67"/>
    <n v="1457.37"/>
    <n v="450.3"/>
    <n v="8"/>
    <n v="5"/>
    <s v="Met"/>
    <x v="8"/>
    <n v="4"/>
    <x v="1"/>
  </r>
  <r>
    <s v="TXN-10625"/>
    <d v="2024-01-18T00:00:00"/>
    <x v="0"/>
    <s v="Noraini Yaakob"/>
    <x v="6"/>
    <s v="Groceries"/>
    <n v="2311.12"/>
    <n v="1787.2"/>
    <n v="523.91999999999996"/>
    <n v="3"/>
    <n v="2"/>
    <s v="Met"/>
    <x v="1"/>
    <n v="1"/>
    <x v="1"/>
  </r>
  <r>
    <s v="TXN-10594"/>
    <d v="2024-04-12T00:00:00"/>
    <x v="2"/>
    <s v="Zulkifli Hassan"/>
    <x v="4"/>
    <s v="Electronics"/>
    <n v="3343.32"/>
    <n v="2596.6999999999998"/>
    <n v="746.62"/>
    <m/>
    <n v="4"/>
    <s v="Met"/>
    <x v="0"/>
    <n v="2"/>
    <x v="0"/>
  </r>
  <r>
    <s v="TXN-10069"/>
    <d v="2024-10-09T00:00:00"/>
    <x v="3"/>
    <s v="Wei Jian"/>
    <x v="1"/>
    <s v="Groceries"/>
    <n v="2564.81"/>
    <n v="1548.52"/>
    <n v="1016.29"/>
    <m/>
    <n v="5"/>
    <s v="Met"/>
    <x v="5"/>
    <n v="4"/>
    <x v="0"/>
  </r>
  <r>
    <s v="TXN-10347"/>
    <d v="2024-08-08T00:00:00"/>
    <x v="0"/>
    <s v="Izzat Fikri"/>
    <x v="5"/>
    <s v="Electronics"/>
    <n v="1300.5"/>
    <n v="1011.99"/>
    <n v="288.51"/>
    <n v="5"/>
    <n v="4"/>
    <s v="Missed"/>
    <x v="2"/>
    <n v="3"/>
    <x v="1"/>
  </r>
  <r>
    <s v="TXN-10745"/>
    <d v="2024-11-04T00:00:00"/>
    <x v="0"/>
    <s v="Noraini Yaakob"/>
    <x v="2"/>
    <s v="Furniture"/>
    <n v="2861.57"/>
    <n v="1574.38"/>
    <n v="1287.19"/>
    <m/>
    <n v="3"/>
    <s v="Met"/>
    <x v="8"/>
    <n v="4"/>
    <x v="0"/>
  </r>
  <r>
    <s v="TXN-10286"/>
    <d v="2024-10-09T00:00:00"/>
    <x v="2"/>
    <s v="Chong Kah Wei"/>
    <x v="2"/>
    <s v="Apparel"/>
    <n v="666.34"/>
    <n v="507.94"/>
    <n v="158.4"/>
    <m/>
    <n v="4"/>
    <s v="Missed"/>
    <x v="5"/>
    <n v="4"/>
    <x v="0"/>
  </r>
  <r>
    <s v="TXN-10369"/>
    <d v="2024-05-29T00:00:00"/>
    <x v="0"/>
    <s v="Tan Chee Keong"/>
    <x v="1"/>
    <s v="Groceries"/>
    <n v="783.35"/>
    <n v="435.16"/>
    <n v="348.19"/>
    <m/>
    <n v="4"/>
    <s v="Met"/>
    <x v="7"/>
    <n v="2"/>
    <x v="0"/>
  </r>
  <r>
    <s v="TXN-10154"/>
    <d v="2024-03-29T00:00:00"/>
    <x v="1"/>
    <s v="Lee Jia Hui"/>
    <x v="1"/>
    <s v="Automotive Parts"/>
    <n v="2008.96"/>
    <n v="1350.85"/>
    <n v="658.11"/>
    <m/>
    <n v="5"/>
    <s v="Met"/>
    <x v="6"/>
    <n v="1"/>
    <x v="0"/>
  </r>
  <r>
    <s v="TXN-10419"/>
    <d v="2024-10-26T00:00:00"/>
    <x v="4"/>
    <s v="Lim Pei Yi"/>
    <x v="2"/>
    <s v="Automotive Parts"/>
    <n v="861.53"/>
    <n v="688.79"/>
    <n v="172.74"/>
    <m/>
    <n v="4"/>
    <s v="Missed"/>
    <x v="5"/>
    <n v="4"/>
    <x v="0"/>
  </r>
  <r>
    <s v="TXN-10529"/>
    <d v="2024-11-14T00:00:00"/>
    <x v="1"/>
    <s v="Lee Jia Hui"/>
    <x v="4"/>
    <s v="Electronics"/>
    <n v="2255.63"/>
    <n v="1387.59"/>
    <n v="868.04"/>
    <m/>
    <n v="4"/>
    <s v="Met"/>
    <x v="8"/>
    <n v="4"/>
    <x v="0"/>
  </r>
  <r>
    <s v="TXN-10687"/>
    <d v="2024-02-14T00:00:00"/>
    <x v="0"/>
    <s v="Maya Devi"/>
    <x v="6"/>
    <s v="Apparel"/>
    <n v="2046.73"/>
    <n v="1362.61"/>
    <n v="684.12"/>
    <m/>
    <n v="3"/>
    <s v="Met"/>
    <x v="10"/>
    <n v="1"/>
    <x v="0"/>
  </r>
  <r>
    <s v="TXN-10334"/>
    <d v="2024-10-11T00:00:00"/>
    <x v="2"/>
    <s v="Muthu Kannan"/>
    <x v="3"/>
    <s v="Electronics"/>
    <n v="2263.41"/>
    <n v="2002.65"/>
    <n v="260.76"/>
    <n v="6"/>
    <n v="1"/>
    <s v="Met"/>
    <x v="5"/>
    <n v="4"/>
    <x v="1"/>
  </r>
  <r>
    <s v="TXN-10692"/>
    <d v="2024-10-06T00:00:00"/>
    <x v="4"/>
    <s v="Faisal Rashid"/>
    <x v="4"/>
    <s v="Electronics"/>
    <n v="972.94"/>
    <n v="731.95"/>
    <n v="240.99"/>
    <m/>
    <n v="5"/>
    <s v="Met"/>
    <x v="5"/>
    <n v="4"/>
    <x v="0"/>
  </r>
  <r>
    <s v="TXN-10561"/>
    <d v="2024-03-16T00:00:00"/>
    <x v="2"/>
    <s v="Amir Hakim"/>
    <x v="1"/>
    <s v="Electronics"/>
    <n v="1458.51"/>
    <n v="1252.42"/>
    <n v="206.09"/>
    <m/>
    <n v="4"/>
    <s v="Met"/>
    <x v="6"/>
    <n v="1"/>
    <x v="0"/>
  </r>
  <r>
    <s v="TXN-10241"/>
    <d v="2024-11-27T00:00:00"/>
    <x v="2"/>
    <s v="Muthu Kannan"/>
    <x v="4"/>
    <s v="Groceries"/>
    <n v="1399.99"/>
    <n v="1272.43"/>
    <n v="127.56"/>
    <n v="13"/>
    <n v="3"/>
    <s v="Missed"/>
    <x v="8"/>
    <n v="4"/>
    <x v="0"/>
  </r>
  <r>
    <s v="TXN-10949"/>
    <d v="2024-01-16T00:00:00"/>
    <x v="3"/>
    <s v="Kevin Lim"/>
    <x v="3"/>
    <s v="Apparel"/>
    <n v="2300.4899999999998"/>
    <n v="1365.29"/>
    <n v="935.2"/>
    <m/>
    <n v="5"/>
    <s v="Met"/>
    <x v="1"/>
    <n v="1"/>
    <x v="0"/>
  </r>
  <r>
    <s v="TXN-10570"/>
    <d v="2024-02-17T00:00:00"/>
    <x v="0"/>
    <s v="Wong Li Ting"/>
    <x v="5"/>
    <s v="Electronics"/>
    <n v="3310.76"/>
    <n v="1827.94"/>
    <n v="1482.82"/>
    <m/>
    <n v="4"/>
    <s v="Met"/>
    <x v="10"/>
    <n v="1"/>
    <x v="0"/>
  </r>
  <r>
    <s v="TXN-10929"/>
    <d v="2024-03-04T00:00:00"/>
    <x v="0"/>
    <s v="Hock Seng"/>
    <x v="4"/>
    <s v="Apparel"/>
    <n v="3132.19"/>
    <n v="2439.38"/>
    <n v="692.81"/>
    <m/>
    <n v="5"/>
    <s v="Met"/>
    <x v="6"/>
    <n v="1"/>
    <x v="0"/>
  </r>
  <r>
    <s v="TXN-10049"/>
    <d v="2024-08-24T00:00:00"/>
    <x v="3"/>
    <s v="Uknown"/>
    <x v="1"/>
    <s v="Automotive Parts"/>
    <n v="1534.38"/>
    <n v="915.86"/>
    <n v="618.52"/>
    <m/>
    <n v="4"/>
    <s v="Missed"/>
    <x v="2"/>
    <n v="3"/>
    <x v="0"/>
  </r>
  <r>
    <s v="TXN-10162"/>
    <d v="2024-11-28T00:00:00"/>
    <x v="2"/>
    <s v="Zulkifli Hassan"/>
    <x v="1"/>
    <s v="Automotive Parts"/>
    <n v="1161.25"/>
    <n v="1036.27"/>
    <n v="124.98"/>
    <n v="6"/>
    <n v="3"/>
    <s v="Met"/>
    <x v="8"/>
    <n v="4"/>
    <x v="1"/>
  </r>
  <r>
    <s v="TXN-10181"/>
    <d v="2024-01-26T00:00:00"/>
    <x v="3"/>
    <s v="Siti Noraini"/>
    <x v="5"/>
    <s v="Automotive Parts"/>
    <n v="712.76"/>
    <n v="494.28"/>
    <n v="218.48"/>
    <m/>
    <n v="4"/>
    <s v="Met"/>
    <x v="1"/>
    <n v="1"/>
    <x v="0"/>
  </r>
  <r>
    <s v="TXN-10888"/>
    <d v="2024-09-13T00:00:00"/>
    <x v="3"/>
    <s v="Nur Aina"/>
    <x v="5"/>
    <s v="Groceries"/>
    <n v="825.74"/>
    <n v="484.67"/>
    <n v="341.07"/>
    <m/>
    <n v="5"/>
    <s v="Met"/>
    <x v="9"/>
    <n v="3"/>
    <x v="0"/>
  </r>
  <r>
    <s v="TXN-10329"/>
    <d v="2024-07-24T00:00:00"/>
    <x v="3"/>
    <s v="Kevin Lim"/>
    <x v="4"/>
    <s v="Groceries"/>
    <n v="2128.3000000000002"/>
    <n v="1297.5"/>
    <n v="830.8"/>
    <m/>
    <n v="4"/>
    <s v="Met"/>
    <x v="3"/>
    <n v="3"/>
    <x v="0"/>
  </r>
  <r>
    <s v="TXN-10215"/>
    <d v="2024-02-23T00:00:00"/>
    <x v="2"/>
    <s v="Zulkifli Hassan"/>
    <x v="3"/>
    <s v="Apparel"/>
    <n v="1863.81"/>
    <n v="1557.95"/>
    <n v="305.86"/>
    <n v="10"/>
    <n v="1"/>
    <s v="Missed"/>
    <x v="10"/>
    <n v="1"/>
    <x v="1"/>
  </r>
  <r>
    <s v="TXN-10094"/>
    <d v="2024-02-12T00:00:00"/>
    <x v="4"/>
    <s v="Goh Wen Xin"/>
    <x v="2"/>
    <s v="Electronics"/>
    <n v="2585.7199999999998"/>
    <n v="1473.17"/>
    <n v="1112.55"/>
    <m/>
    <n v="3"/>
    <s v="Met"/>
    <x v="10"/>
    <n v="1"/>
    <x v="0"/>
  </r>
  <r>
    <s v="TXN-10346"/>
    <d v="2024-02-07T00:00:00"/>
    <x v="4"/>
    <s v="Chen Mei Ling"/>
    <x v="4"/>
    <s v="Electronics"/>
    <n v="1078.9100000000001"/>
    <n v="610.23"/>
    <n v="468.68"/>
    <m/>
    <n v="5"/>
    <s v="Met"/>
    <x v="10"/>
    <n v="1"/>
    <x v="0"/>
  </r>
  <r>
    <s v="TXN-10107"/>
    <d v="2024-07-24T00:00:00"/>
    <x v="4"/>
    <s v="Brandon Ong"/>
    <x v="3"/>
    <s v="Furniture"/>
    <n v="321.38"/>
    <n v="221.9"/>
    <n v="99.48"/>
    <m/>
    <n v="4"/>
    <s v="Met"/>
    <x v="3"/>
    <n v="3"/>
    <x v="0"/>
  </r>
  <r>
    <s v="TXN-10012"/>
    <d v="2024-01-28T00:00:00"/>
    <x v="0"/>
    <s v="Uknown"/>
    <x v="3"/>
    <s v="Automotive Parts"/>
    <n v="2405.77"/>
    <n v="1915.09"/>
    <n v="490.68"/>
    <n v="2"/>
    <n v="2"/>
    <s v="Met"/>
    <x v="1"/>
    <n v="1"/>
    <x v="1"/>
  </r>
  <r>
    <s v="TXN-10316"/>
    <d v="2024-03-03T00:00:00"/>
    <x v="3"/>
    <s v="Siti Noraini"/>
    <x v="4"/>
    <s v="Groceries"/>
    <n v="2476.98"/>
    <n v="1532.27"/>
    <n v="944.71"/>
    <m/>
    <n v="5"/>
    <s v="Missed"/>
    <x v="6"/>
    <n v="1"/>
    <x v="0"/>
  </r>
  <r>
    <s v="TXN-10193"/>
    <d v="2024-06-01T00:00:00"/>
    <x v="1"/>
    <s v="Nurul Huda"/>
    <x v="4"/>
    <s v="Groceries"/>
    <n v="945.79"/>
    <n v="531.91999999999996"/>
    <n v="413.87"/>
    <n v="7"/>
    <n v="1"/>
    <s v="Met"/>
    <x v="4"/>
    <n v="2"/>
    <x v="1"/>
  </r>
  <r>
    <s v="TXN-10905"/>
    <d v="2024-09-11T00:00:00"/>
    <x v="0"/>
    <s v="Tan Chee Keong"/>
    <x v="4"/>
    <s v="Groceries"/>
    <n v="154.87"/>
    <n v="89.62"/>
    <n v="65.25"/>
    <m/>
    <n v="4"/>
    <s v="Met"/>
    <x v="9"/>
    <n v="3"/>
    <x v="0"/>
  </r>
  <r>
    <s v="TXN-10164"/>
    <d v="2024-02-22T00:00:00"/>
    <x v="3"/>
    <s v="Farah Aziz"/>
    <x v="1"/>
    <s v="Apparel"/>
    <n v="1199.73"/>
    <n v="924.09"/>
    <n v="275.64"/>
    <m/>
    <n v="5"/>
    <s v="Met"/>
    <x v="10"/>
    <n v="1"/>
    <x v="0"/>
  </r>
  <r>
    <s v="TXN-10597"/>
    <d v="2024-12-02T00:00:00"/>
    <x v="4"/>
    <s v="Lim Pei Yi"/>
    <x v="0"/>
    <s v="Electronics"/>
    <n v="1814.65"/>
    <n v="1140.71"/>
    <n v="673.94"/>
    <m/>
    <n v="3"/>
    <s v="Met"/>
    <x v="11"/>
    <n v="4"/>
    <x v="0"/>
  </r>
  <r>
    <s v="TXN-10861"/>
    <d v="2024-04-16T00:00:00"/>
    <x v="0"/>
    <s v="Izzat Fikri"/>
    <x v="0"/>
    <s v="Apparel"/>
    <n v="880.06"/>
    <n v="561.76"/>
    <n v="318.3"/>
    <m/>
    <n v="4"/>
    <s v="Met"/>
    <x v="0"/>
    <n v="2"/>
    <x v="0"/>
  </r>
  <r>
    <s v="TXN-10654"/>
    <d v="2024-12-22T00:00:00"/>
    <x v="0"/>
    <s v="Wong Li Ting"/>
    <x v="4"/>
    <s v="Electronics"/>
    <n v="3022"/>
    <n v="1752.03"/>
    <n v="1269.97"/>
    <m/>
    <n v="5"/>
    <s v="Missed"/>
    <x v="11"/>
    <n v="4"/>
    <x v="0"/>
  </r>
  <r>
    <s v="TXN-10229"/>
    <d v="2024-11-22T00:00:00"/>
    <x v="2"/>
    <s v="Priya Devi"/>
    <x v="2"/>
    <s v="Groceries"/>
    <n v="1229.98"/>
    <n v="892.21"/>
    <n v="337.77"/>
    <m/>
    <n v="5"/>
    <s v="Met"/>
    <x v="8"/>
    <n v="4"/>
    <x v="0"/>
  </r>
  <r>
    <s v="TXN-10787"/>
    <d v="2024-03-19T00:00:00"/>
    <x v="3"/>
    <s v="Farah Aziz"/>
    <x v="2"/>
    <s v="Electronics"/>
    <n v="1293.51"/>
    <n v="1018.77"/>
    <n v="274.74"/>
    <m/>
    <n v="5"/>
    <s v="Met"/>
    <x v="6"/>
    <n v="1"/>
    <x v="0"/>
  </r>
  <r>
    <s v="TXN-10380"/>
    <d v="2024-11-23T00:00:00"/>
    <x v="3"/>
    <s v="Farah Aziz"/>
    <x v="4"/>
    <s v="Furniture"/>
    <n v="3286.66"/>
    <n v="2229.89"/>
    <n v="1056.77"/>
    <m/>
    <n v="3"/>
    <s v="Met"/>
    <x v="8"/>
    <n v="4"/>
    <x v="0"/>
  </r>
  <r>
    <s v="TXN-10157"/>
    <d v="2024-02-14T00:00:00"/>
    <x v="3"/>
    <s v="Kevin Lim"/>
    <x v="3"/>
    <s v="Electronics"/>
    <n v="1620.88"/>
    <n v="1294.26"/>
    <n v="326.62"/>
    <m/>
    <n v="5"/>
    <s v="Met"/>
    <x v="10"/>
    <n v="1"/>
    <x v="0"/>
  </r>
  <r>
    <s v="TXN-10670"/>
    <d v="2024-08-07T00:00:00"/>
    <x v="1"/>
    <s v="Syafiq Azman"/>
    <x v="3"/>
    <s v="Furniture"/>
    <n v="461.76"/>
    <n v="365.59"/>
    <n v="96.17"/>
    <m/>
    <n v="4"/>
    <s v="Missed"/>
    <x v="2"/>
    <n v="3"/>
    <x v="0"/>
  </r>
  <r>
    <s v="TXN-10018"/>
    <d v="2024-03-20T00:00:00"/>
    <x v="3"/>
    <s v="Raj Kumar"/>
    <x v="5"/>
    <s v="Apparel"/>
    <n v="1062.3699999999999"/>
    <n v="744.94"/>
    <n v="317.43"/>
    <m/>
    <n v="4"/>
    <s v="Met"/>
    <x v="6"/>
    <n v="1"/>
    <x v="0"/>
  </r>
  <r>
    <s v="TXN-10102"/>
    <d v="2024-03-27T00:00:00"/>
    <x v="1"/>
    <s v="Lee Jia Hui"/>
    <x v="5"/>
    <s v="Groceries"/>
    <n v="2132.56"/>
    <n v="1482.47"/>
    <n v="650.09"/>
    <m/>
    <n v="5"/>
    <s v="Met"/>
    <x v="6"/>
    <n v="1"/>
    <x v="0"/>
  </r>
  <r>
    <s v="TXN-10850"/>
    <d v="2024-05-22T00:00:00"/>
    <x v="2"/>
    <s v="Priya Devi"/>
    <x v="1"/>
    <s v="Electronics"/>
    <n v="1467.45"/>
    <n v="1177.18"/>
    <n v="290.27"/>
    <n v="10"/>
    <n v="4"/>
    <s v="Met"/>
    <x v="7"/>
    <n v="2"/>
    <x v="1"/>
  </r>
  <r>
    <s v="TXN-10764"/>
    <d v="2024-12-24T00:00:00"/>
    <x v="1"/>
    <s v="Lee Jia Hui"/>
    <x v="4"/>
    <s v="Automotive Parts"/>
    <n v="2301.73"/>
    <n v="1436.4"/>
    <n v="865.33"/>
    <m/>
    <n v="3"/>
    <s v="Missed"/>
    <x v="11"/>
    <n v="4"/>
    <x v="0"/>
  </r>
  <r>
    <s v="TXN-10186"/>
    <d v="2024-01-01T00:00:00"/>
    <x v="2"/>
    <s v="Muthu Kannan"/>
    <x v="5"/>
    <s v="Groceries"/>
    <n v="1261.31"/>
    <n v="1053.33"/>
    <n v="207.98"/>
    <n v="8"/>
    <n v="1"/>
    <s v="Met"/>
    <x v="1"/>
    <n v="1"/>
    <x v="1"/>
  </r>
  <r>
    <s v="TXN-10351"/>
    <d v="2024-10-03T00:00:00"/>
    <x v="0"/>
    <s v="Noraini Yaakob"/>
    <x v="3"/>
    <s v="Electronics"/>
    <n v="3284.96"/>
    <n v="2599.19"/>
    <n v="685.77"/>
    <m/>
    <n v="2"/>
    <s v="Met"/>
    <x v="5"/>
    <n v="4"/>
    <x v="0"/>
  </r>
  <r>
    <s v="TXN-10524"/>
    <d v="2024-11-28T00:00:00"/>
    <x v="3"/>
    <s v="Wei Jian"/>
    <x v="3"/>
    <s v="Automotive Parts"/>
    <n v="1430.04"/>
    <n v="1012.59"/>
    <n v="417.45"/>
    <m/>
    <n v="3"/>
    <s v="Met"/>
    <x v="8"/>
    <n v="4"/>
    <x v="0"/>
  </r>
  <r>
    <s v="TXN-10016"/>
    <d v="2024-03-08T00:00:00"/>
    <x v="4"/>
    <s v="Brandon Ong"/>
    <x v="0"/>
    <s v="Electronics"/>
    <n v="2400.16"/>
    <n v="1500.1"/>
    <n v="900.06"/>
    <m/>
    <n v="1"/>
    <s v="Met"/>
    <x v="6"/>
    <n v="1"/>
    <x v="0"/>
  </r>
  <r>
    <s v="TXN-10407"/>
    <d v="2024-07-20T00:00:00"/>
    <x v="2"/>
    <s v="Zulkifli Hassan"/>
    <x v="3"/>
    <s v="Furniture"/>
    <n v="3257.15"/>
    <n v="2937.77"/>
    <n v="319.38"/>
    <n v="8"/>
    <n v="2"/>
    <s v="Met"/>
    <x v="3"/>
    <n v="3"/>
    <x v="1"/>
  </r>
  <r>
    <s v="TXN-10563"/>
    <d v="2024-10-22T00:00:00"/>
    <x v="1"/>
    <s v="Vikram Singh"/>
    <x v="1"/>
    <s v="Furniture"/>
    <n v="2751.59"/>
    <n v="2071.46"/>
    <n v="680.13"/>
    <m/>
    <n v="1"/>
    <s v="Met"/>
    <x v="5"/>
    <n v="4"/>
    <x v="0"/>
  </r>
  <r>
    <s v="TXN-10656"/>
    <d v="2024-01-25T00:00:00"/>
    <x v="2"/>
    <s v="Chong Kah Wei"/>
    <x v="4"/>
    <s v="Groceries"/>
    <n v="2039.84"/>
    <n v="1830.57"/>
    <n v="209.27"/>
    <n v="6"/>
    <n v="1"/>
    <s v="Met"/>
    <x v="1"/>
    <n v="1"/>
    <x v="1"/>
  </r>
  <r>
    <s v="TXN-10591"/>
    <d v="2024-05-24T00:00:00"/>
    <x v="1"/>
    <s v="Farhana Ismail"/>
    <x v="5"/>
    <s v="Electronics"/>
    <n v="1027.68"/>
    <n v="611.63"/>
    <n v="416.05"/>
    <m/>
    <n v="5"/>
    <s v="Met"/>
    <x v="7"/>
    <n v="2"/>
    <x v="0"/>
  </r>
  <r>
    <s v="TXN-10189"/>
    <d v="2024-03-13T00:00:00"/>
    <x v="1"/>
    <s v="Michelle Tan"/>
    <x v="6"/>
    <s v="Automotive Parts"/>
    <n v="1259.4100000000001"/>
    <n v="717.17"/>
    <n v="542.24"/>
    <m/>
    <n v="5"/>
    <s v="Missed"/>
    <x v="6"/>
    <n v="1"/>
    <x v="0"/>
  </r>
  <r>
    <s v="TXN-10135"/>
    <d v="2024-01-09T00:00:00"/>
    <x v="1"/>
    <s v="Uknown"/>
    <x v="3"/>
    <s v="Groceries"/>
    <n v="172.15"/>
    <n v="118.42"/>
    <n v="53.73"/>
    <n v="5"/>
    <n v="1"/>
    <s v="Met"/>
    <x v="1"/>
    <n v="1"/>
    <x v="1"/>
  </r>
  <r>
    <s v="TXN-10301"/>
    <d v="2024-09-17T00:00:00"/>
    <x v="0"/>
    <s v="Wong Li Ting"/>
    <x v="0"/>
    <s v="Automotive Parts"/>
    <n v="3421.65"/>
    <n v="1967.11"/>
    <n v="1454.54"/>
    <m/>
    <n v="3"/>
    <s v="Met"/>
    <x v="9"/>
    <n v="3"/>
    <x v="0"/>
  </r>
  <r>
    <s v="TXN-10309"/>
    <d v="2024-07-21T00:00:00"/>
    <x v="3"/>
    <s v="Siti Noraini"/>
    <x v="0"/>
    <s v="Groceries"/>
    <n v="3445.83"/>
    <n v="1929.02"/>
    <n v="1516.81"/>
    <m/>
    <n v="2"/>
    <s v="Met"/>
    <x v="3"/>
    <n v="3"/>
    <x v="0"/>
  </r>
  <r>
    <s v="TXN-10231"/>
    <d v="2024-04-24T00:00:00"/>
    <x v="1"/>
    <s v="Vikram Singh"/>
    <x v="1"/>
    <s v="Apparel"/>
    <n v="2637.08"/>
    <n v="1820.42"/>
    <n v="816.66"/>
    <m/>
    <n v="5"/>
    <s v="Met"/>
    <x v="0"/>
    <n v="2"/>
    <x v="0"/>
  </r>
  <r>
    <s v="TXN-10149"/>
    <d v="2024-04-23T00:00:00"/>
    <x v="1"/>
    <s v="Lee Jia Hui"/>
    <x v="2"/>
    <s v="Apparel"/>
    <n v="1643.36"/>
    <n v="1064.54"/>
    <n v="578.82000000000005"/>
    <m/>
    <n v="4"/>
    <s v="Met"/>
    <x v="0"/>
    <n v="2"/>
    <x v="1"/>
  </r>
  <r>
    <s v="TXN-10056"/>
    <d v="2024-05-30T00:00:00"/>
    <x v="3"/>
    <s v="Kevin Lim"/>
    <x v="4"/>
    <s v="Apparel"/>
    <n v="1350.85"/>
    <n v="888.42"/>
    <n v="462.43"/>
    <m/>
    <n v="5"/>
    <s v="Missed"/>
    <x v="7"/>
    <n v="2"/>
    <x v="0"/>
  </r>
  <r>
    <s v="TXN-10844"/>
    <d v="2024-12-21T00:00:00"/>
    <x v="3"/>
    <s v="Siti Noraini"/>
    <x v="1"/>
    <s v="Groceries"/>
    <n v="1383.77"/>
    <n v="949.09"/>
    <n v="434.68"/>
    <m/>
    <n v="4"/>
    <s v="Met"/>
    <x v="11"/>
    <n v="4"/>
    <x v="0"/>
  </r>
  <r>
    <s v="TXN-10251"/>
    <d v="2024-04-02T00:00:00"/>
    <x v="2"/>
    <s v="Hafiz Idris"/>
    <x v="5"/>
    <s v="Electronics"/>
    <n v="1880.75"/>
    <n v="1484.29"/>
    <n v="396.46"/>
    <m/>
    <n v="5"/>
    <s v="Met"/>
    <x v="0"/>
    <n v="2"/>
    <x v="0"/>
  </r>
  <r>
    <s v="TXN-10314"/>
    <d v="2024-03-16T00:00:00"/>
    <x v="1"/>
    <s v="Lee Jia Hui"/>
    <x v="0"/>
    <s v="Electronics"/>
    <n v="334.46"/>
    <n v="213.14"/>
    <n v="121.32"/>
    <m/>
    <n v="5"/>
    <s v="Met"/>
    <x v="6"/>
    <n v="1"/>
    <x v="0"/>
  </r>
  <r>
    <s v="TXN-10846"/>
    <d v="2024-03-09T00:00:00"/>
    <x v="2"/>
    <s v="Priya Devi"/>
    <x v="0"/>
    <s v="Electronics"/>
    <n v="2651.25"/>
    <n v="2083.77"/>
    <n v="567.48"/>
    <n v="8"/>
    <n v="3"/>
    <s v="Met"/>
    <x v="6"/>
    <n v="1"/>
    <x v="1"/>
  </r>
  <r>
    <s v="TXN-10999"/>
    <d v="2024-05-25T00:00:00"/>
    <x v="4"/>
    <s v="Chen Mei Ling"/>
    <x v="0"/>
    <s v="Electronics"/>
    <n v="226.08"/>
    <n v="155.9"/>
    <n v="70.180000000000007"/>
    <m/>
    <n v="4"/>
    <s v="Missed"/>
    <x v="7"/>
    <n v="2"/>
    <x v="0"/>
  </r>
  <r>
    <s v="TXN-10007"/>
    <d v="2024-12-15T00:00:00"/>
    <x v="3"/>
    <s v="Uknown"/>
    <x v="1"/>
    <s v="Apparel"/>
    <n v="3114.04"/>
    <n v="2297.29"/>
    <n v="816.75"/>
    <n v="8"/>
    <n v="1"/>
    <s v="Met"/>
    <x v="11"/>
    <n v="4"/>
    <x v="1"/>
  </r>
  <r>
    <s v="TXN-10988"/>
    <d v="2024-03-20T00:00:00"/>
    <x v="3"/>
    <s v="Kevin Lim"/>
    <x v="4"/>
    <s v="Electronics"/>
    <n v="2081.77"/>
    <n v="1440"/>
    <n v="641.77"/>
    <m/>
    <n v="5"/>
    <s v="Met"/>
    <x v="6"/>
    <n v="1"/>
    <x v="0"/>
  </r>
  <r>
    <s v="TXN-10845"/>
    <d v="2024-03-23T00:00:00"/>
    <x v="2"/>
    <s v="Sarah Lee"/>
    <x v="0"/>
    <s v="Electronics"/>
    <n v="439.36"/>
    <n v="325.61"/>
    <n v="113.75"/>
    <m/>
    <n v="4"/>
    <s v="Missed"/>
    <x v="6"/>
    <n v="1"/>
    <x v="0"/>
  </r>
  <r>
    <s v="TXN-10172"/>
    <d v="2024-02-29T00:00:00"/>
    <x v="3"/>
    <s v="Aisha Rahman"/>
    <x v="2"/>
    <s v="Groceries"/>
    <n v="915.15"/>
    <n v="619.75"/>
    <n v="295.39999999999998"/>
    <m/>
    <n v="4"/>
    <s v="Met"/>
    <x v="10"/>
    <n v="1"/>
    <x v="1"/>
  </r>
  <r>
    <s v="TXN-10114"/>
    <d v="2024-07-21T00:00:00"/>
    <x v="1"/>
    <s v="Lee Jia Hui"/>
    <x v="1"/>
    <s v="Groceries"/>
    <n v="2891.56"/>
    <n v="2280.44"/>
    <n v="611.12"/>
    <m/>
    <n v="5"/>
    <s v="Met"/>
    <x v="3"/>
    <n v="3"/>
    <x v="0"/>
  </r>
  <r>
    <s v="TXN-10553"/>
    <d v="2024-07-01T00:00:00"/>
    <x v="3"/>
    <s v="Farah Aziz"/>
    <x v="1"/>
    <s v="Apparel"/>
    <n v="884.59"/>
    <n v="699.98"/>
    <n v="184.61"/>
    <m/>
    <n v="3"/>
    <s v="Met"/>
    <x v="3"/>
    <n v="3"/>
    <x v="0"/>
  </r>
  <r>
    <s v="TXN-10761"/>
    <d v="2024-05-09T00:00:00"/>
    <x v="0"/>
    <s v="Wong Li Ting"/>
    <x v="5"/>
    <s v="Apparel"/>
    <n v="1351.27"/>
    <n v="973.93"/>
    <n v="377.34"/>
    <m/>
    <n v="4"/>
    <s v="Missed"/>
    <x v="7"/>
    <n v="2"/>
    <x v="0"/>
  </r>
  <r>
    <s v="TXN-10418"/>
    <d v="2024-09-10T00:00:00"/>
    <x v="0"/>
    <s v="Noraini Yaakob"/>
    <x v="3"/>
    <s v="Electronics"/>
    <n v="394.08"/>
    <n v="286.60000000000002"/>
    <n v="107.48"/>
    <m/>
    <n v="5"/>
    <s v="Missed"/>
    <x v="9"/>
    <n v="3"/>
    <x v="0"/>
  </r>
  <r>
    <s v="TXN-10778"/>
    <d v="2024-12-01T00:00:00"/>
    <x v="3"/>
    <s v="Siti Noraini"/>
    <x v="2"/>
    <s v="Electronics"/>
    <n v="1755.7"/>
    <n v="1218.05"/>
    <n v="537.65"/>
    <m/>
    <n v="4"/>
    <s v="Missed"/>
    <x v="11"/>
    <n v="4"/>
    <x v="0"/>
  </r>
  <r>
    <s v="TXN-10324"/>
    <d v="2024-01-24T00:00:00"/>
    <x v="3"/>
    <s v="Nur Aina"/>
    <x v="4"/>
    <s v="Groceries"/>
    <n v="495.39"/>
    <n v="367.35"/>
    <n v="128.04"/>
    <n v="4"/>
    <n v="2"/>
    <s v="Met"/>
    <x v="1"/>
    <n v="1"/>
    <x v="1"/>
  </r>
  <r>
    <s v="TXN-10260"/>
    <d v="2024-10-13T00:00:00"/>
    <x v="3"/>
    <s v="Nur Aina"/>
    <x v="5"/>
    <s v="Groceries"/>
    <n v="3215.28"/>
    <n v="2048.21"/>
    <n v="1167.07"/>
    <m/>
    <n v="4"/>
    <s v="Met"/>
    <x v="5"/>
    <n v="4"/>
    <x v="0"/>
  </r>
  <r>
    <s v="TXN-10026"/>
    <d v="2024-12-11T00:00:00"/>
    <x v="4"/>
    <s v="Goh Wen Xin"/>
    <x v="3"/>
    <s v="Furniture"/>
    <n v="865.9"/>
    <n v="578.67999999999995"/>
    <n v="287.22000000000003"/>
    <m/>
    <n v="5"/>
    <s v="Met"/>
    <x v="11"/>
    <n v="4"/>
    <x v="0"/>
  </r>
  <r>
    <s v="TXN-10744"/>
    <d v="2024-08-28T00:00:00"/>
    <x v="3"/>
    <s v="Uknown"/>
    <x v="5"/>
    <s v="Furniture"/>
    <n v="264.64999999999998"/>
    <n v="203.25"/>
    <n v="61.4"/>
    <n v="3"/>
    <n v="1"/>
    <s v="Missed"/>
    <x v="2"/>
    <n v="3"/>
    <x v="1"/>
  </r>
  <r>
    <s v="TXN-10842"/>
    <d v="2024-03-30T00:00:00"/>
    <x v="3"/>
    <s v="Farah Aziz"/>
    <x v="1"/>
    <s v="Groceries"/>
    <n v="3172.58"/>
    <n v="1977.62"/>
    <n v="1194.96"/>
    <n v="7"/>
    <n v="1"/>
    <s v="Missed"/>
    <x v="6"/>
    <n v="1"/>
    <x v="1"/>
  </r>
  <r>
    <s v="TXN-10146"/>
    <d v="2024-01-14T00:00:00"/>
    <x v="2"/>
    <s v="Sarah Lee"/>
    <x v="1"/>
    <s v="Apparel"/>
    <n v="3342.57"/>
    <n v="2679.26"/>
    <n v="663.31"/>
    <m/>
    <n v="5"/>
    <s v="Met"/>
    <x v="1"/>
    <n v="1"/>
    <x v="0"/>
  </r>
  <r>
    <s v="TXN-10633"/>
    <d v="2024-09-13T00:00:00"/>
    <x v="2"/>
    <s v="Jasmine Wong"/>
    <x v="2"/>
    <s v="Automotive Parts"/>
    <n v="1196"/>
    <n v="999.98"/>
    <n v="196.02"/>
    <m/>
    <n v="5"/>
    <s v="Met"/>
    <x v="9"/>
    <n v="3"/>
    <x v="0"/>
  </r>
  <r>
    <s v="TXN-10935"/>
    <d v="2024-03-04T00:00:00"/>
    <x v="1"/>
    <s v="Vikram Singh"/>
    <x v="3"/>
    <s v="Groceries"/>
    <n v="1973.67"/>
    <n v="1384.75"/>
    <n v="588.91999999999996"/>
    <m/>
    <n v="5"/>
    <s v="Met"/>
    <x v="6"/>
    <n v="1"/>
    <x v="0"/>
  </r>
  <r>
    <s v="TXN-10660"/>
    <d v="2024-11-18T00:00:00"/>
    <x v="1"/>
    <s v="Michelle Tan"/>
    <x v="4"/>
    <s v="Electronic"/>
    <n v="3882.38"/>
    <n v="2207.2199999999998"/>
    <n v="1675.16"/>
    <m/>
    <n v="5"/>
    <s v="Met"/>
    <x v="8"/>
    <n v="4"/>
    <x v="1"/>
  </r>
  <r>
    <s v="TXN-10484"/>
    <d v="2024-08-20T00:00:00"/>
    <x v="4"/>
    <s v="Goh Wen Xin"/>
    <x v="1"/>
    <s v="Groceries"/>
    <n v="342.47"/>
    <n v="232.75"/>
    <n v="109.72"/>
    <m/>
    <n v="4"/>
    <s v="Met"/>
    <x v="2"/>
    <n v="3"/>
    <x v="0"/>
  </r>
  <r>
    <s v="TXN-10895"/>
    <d v="2024-11-13T00:00:00"/>
    <x v="4"/>
    <s v="Nabilah Yusof"/>
    <x v="1"/>
    <s v="Electronics"/>
    <n v="4345.66"/>
    <n v="2484.0100000000002"/>
    <n v="1861.65"/>
    <n v="4"/>
    <n v="2"/>
    <s v="Met"/>
    <x v="8"/>
    <n v="4"/>
    <x v="1"/>
  </r>
  <r>
    <s v="TXN-10043"/>
    <d v="2024-08-01T00:00:00"/>
    <x v="2"/>
    <s v="Sarah Lee"/>
    <x v="5"/>
    <s v="Groceries"/>
    <n v="2181.16"/>
    <n v="1906.25"/>
    <n v="274.91000000000003"/>
    <m/>
    <n v="5"/>
    <s v="Missed"/>
    <x v="2"/>
    <n v="3"/>
    <x v="0"/>
  </r>
  <r>
    <s v="TXN-10390"/>
    <d v="2024-08-05T00:00:00"/>
    <x v="0"/>
    <s v="Izzat Fikri"/>
    <x v="5"/>
    <s v="Electronics"/>
    <n v="3475.72"/>
    <n v="2531.62"/>
    <n v="944.1"/>
    <m/>
    <m/>
    <s v="Met"/>
    <x v="2"/>
    <n v="3"/>
    <x v="0"/>
  </r>
  <r>
    <s v="TXN-10554"/>
    <d v="2024-04-14T00:00:00"/>
    <x v="0"/>
    <s v="Karthik Selvam"/>
    <x v="0"/>
    <s v="Furniture"/>
    <n v="2098.5700000000002"/>
    <n v="1577.98"/>
    <n v="520.59"/>
    <n v="7"/>
    <n v="2"/>
    <s v="Met"/>
    <x v="0"/>
    <n v="2"/>
    <x v="1"/>
  </r>
  <r>
    <s v="TXN-10708"/>
    <d v="2024-01-16T00:00:00"/>
    <x v="4"/>
    <s v="Brandon Ong"/>
    <x v="3"/>
    <s v="Groceries"/>
    <n v="672.27"/>
    <n v="468.06"/>
    <n v="204.21"/>
    <m/>
    <n v="5"/>
    <s v="Met"/>
    <x v="1"/>
    <n v="1"/>
    <x v="0"/>
  </r>
  <r>
    <s v="TXN-10112"/>
    <d v="2024-04-16T00:00:00"/>
    <x v="3"/>
    <s v="Wei Jian"/>
    <x v="1"/>
    <s v="Electronics"/>
    <n v="2028.97"/>
    <n v="1622.22"/>
    <n v="406.75"/>
    <m/>
    <n v="3"/>
    <s v="Met"/>
    <x v="0"/>
    <n v="2"/>
    <x v="0"/>
  </r>
  <r>
    <s v="TXN-10096"/>
    <d v="2024-11-26T00:00:00"/>
    <x v="2"/>
    <s v="Muthu Kannan"/>
    <x v="5"/>
    <s v="Electronics"/>
    <n v="1906.04"/>
    <n v="1572.09"/>
    <n v="333.95"/>
    <m/>
    <n v="4"/>
    <s v="Met"/>
    <x v="8"/>
    <n v="4"/>
    <x v="0"/>
  </r>
  <r>
    <s v="TXN-10165"/>
    <d v="2024-03-18T00:00:00"/>
    <x v="4"/>
    <s v="Faisal Rashid"/>
    <x v="1"/>
    <s v="Electronics"/>
    <n v="3231.65"/>
    <n v="2275.14"/>
    <n v="956.51"/>
    <m/>
    <n v="3"/>
    <s v="Met"/>
    <x v="6"/>
    <n v="1"/>
    <x v="0"/>
  </r>
  <r>
    <s v="TXN-10176"/>
    <d v="2024-04-28T00:00:00"/>
    <x v="4"/>
    <s v="Brandon Ong"/>
    <x v="5"/>
    <s v="Electronics"/>
    <n v="3155.91"/>
    <n v="2145.83"/>
    <n v="1010.08"/>
    <m/>
    <n v="4"/>
    <s v="Met"/>
    <x v="0"/>
    <n v="2"/>
    <x v="0"/>
  </r>
  <r>
    <s v="TXN-10600"/>
    <d v="2024-11-26T00:00:00"/>
    <x v="1"/>
    <s v="Anand Raj"/>
    <x v="2"/>
    <s v="Electronics"/>
    <n v="289.27"/>
    <n v="219.11"/>
    <n v="70.16"/>
    <m/>
    <n v="5"/>
    <s v="Met"/>
    <x v="8"/>
    <n v="4"/>
    <x v="0"/>
  </r>
  <r>
    <s v="TXN-10195"/>
    <d v="2024-12-22T00:00:00"/>
    <x v="1"/>
    <s v="Anand Raj"/>
    <x v="5"/>
    <s v="Electronics"/>
    <n v="3054.1"/>
    <n v="1942.25"/>
    <n v="1111.8499999999999"/>
    <m/>
    <n v="4"/>
    <s v="Met"/>
    <x v="11"/>
    <n v="4"/>
    <x v="0"/>
  </r>
  <r>
    <s v="TXN-10092"/>
    <d v="2024-12-16T00:00:00"/>
    <x v="4"/>
    <s v="Goh Wen Xin"/>
    <x v="1"/>
    <s v="Electronics"/>
    <n v="2548.44"/>
    <n v="1804.13"/>
    <n v="744.31"/>
    <n v="8"/>
    <n v="1"/>
    <s v="Met"/>
    <x v="11"/>
    <n v="4"/>
    <x v="1"/>
  </r>
  <r>
    <s v="TXN-10645"/>
    <d v="2024-07-02T00:00:00"/>
    <x v="0"/>
    <s v="Tan Chee Keong"/>
    <x v="5"/>
    <s v="Groceries"/>
    <n v="1758.7"/>
    <n v="1338.51"/>
    <n v="420.19"/>
    <m/>
    <n v="3"/>
    <s v="Met"/>
    <x v="3"/>
    <n v="3"/>
    <x v="0"/>
  </r>
  <r>
    <s v="TXN-10222"/>
    <d v="2024-11-25T00:00:00"/>
    <x v="3"/>
    <s v="Wei Jian"/>
    <x v="2"/>
    <s v="Electronics"/>
    <n v="2178.6999999999998"/>
    <n v="1241.22"/>
    <n v="937.48"/>
    <m/>
    <n v="5"/>
    <s v="Met"/>
    <x v="8"/>
    <n v="4"/>
    <x v="0"/>
  </r>
  <r>
    <s v="TXN-10680"/>
    <d v="2024-06-03T00:00:00"/>
    <x v="0"/>
    <s v="Karthik Selvam"/>
    <x v="1"/>
    <s v="Groceries"/>
    <n v="1826.26"/>
    <n v="1058"/>
    <n v="768.26"/>
    <m/>
    <n v="4"/>
    <s v="Met"/>
    <x v="4"/>
    <n v="2"/>
    <x v="0"/>
  </r>
  <r>
    <s v="TXN-10027"/>
    <d v="2024-08-31T00:00:00"/>
    <x v="2"/>
    <s v="Uknown"/>
    <x v="5"/>
    <s v="Electronics"/>
    <n v="3338.35"/>
    <n v="2671.32"/>
    <n v="667.03"/>
    <m/>
    <n v="4"/>
    <s v="Missed"/>
    <x v="2"/>
    <n v="3"/>
    <x v="0"/>
  </r>
  <r>
    <s v="TXN-10608"/>
    <d v="2024-10-31T00:00:00"/>
    <x v="4"/>
    <s v="Chen Mei Ling"/>
    <x v="0"/>
    <s v="Furniture"/>
    <n v="1074.3499999999999"/>
    <n v="754.05"/>
    <n v="320.3"/>
    <n v="2"/>
    <n v="2"/>
    <s v="Missed"/>
    <x v="5"/>
    <n v="4"/>
    <x v="1"/>
  </r>
  <r>
    <s v="TXN-10031"/>
    <d v="2024-10-21T00:00:00"/>
    <x v="1"/>
    <s v="Anand Raj"/>
    <x v="1"/>
    <s v="Electronics"/>
    <n v="1783.28"/>
    <n v="1137.6300000000001"/>
    <n v="645.65"/>
    <m/>
    <n v="4"/>
    <s v="Met"/>
    <x v="5"/>
    <n v="4"/>
    <x v="0"/>
  </r>
  <r>
    <s v="TXN-10755"/>
    <d v="2024-10-26T00:00:00"/>
    <x v="0"/>
    <s v="Noraini Yaakob"/>
    <x v="5"/>
    <s v="Apparel"/>
    <n v="3313.54"/>
    <n v="1948.23"/>
    <n v="1365.31"/>
    <n v="6"/>
    <n v="1"/>
    <s v="Missed"/>
    <x v="5"/>
    <n v="4"/>
    <x v="1"/>
  </r>
  <r>
    <s v="TXN-10974"/>
    <d v="2024-05-14T00:00:00"/>
    <x v="3"/>
    <s v="Raj Kumar"/>
    <x v="1"/>
    <s v="Groceries"/>
    <n v="3353.47"/>
    <n v="2640.5"/>
    <n v="712.97"/>
    <n v="8"/>
    <n v="4"/>
    <s v="Met"/>
    <x v="7"/>
    <n v="2"/>
    <x v="1"/>
  </r>
  <r>
    <s v="TXN-10672"/>
    <d v="2024-07-25T00:00:00"/>
    <x v="1"/>
    <s v="Vikram Singh"/>
    <x v="0"/>
    <s v="Electronic"/>
    <n v="3136.18"/>
    <n v="2291.79"/>
    <n v="844.39"/>
    <n v="7"/>
    <n v="2"/>
    <s v="Met"/>
    <x v="3"/>
    <n v="3"/>
    <x v="1"/>
  </r>
  <r>
    <s v="TXN-10099"/>
    <d v="2024-04-12T00:00:00"/>
    <x v="4"/>
    <s v="Faisal Rashid"/>
    <x v="2"/>
    <s v="Electronics"/>
    <n v="2803.42"/>
    <n v="1707.8"/>
    <n v="1095.6199999999999"/>
    <n v="10"/>
    <n v="4"/>
    <s v="Met"/>
    <x v="0"/>
    <n v="2"/>
    <x v="1"/>
  </r>
  <r>
    <s v="TXN-10916"/>
    <d v="2024-10-25T00:00:00"/>
    <x v="4"/>
    <s v="Brandon Ong"/>
    <x v="5"/>
    <s v="Electronics"/>
    <n v="1332.83"/>
    <n v="733.09"/>
    <n v="599.74"/>
    <m/>
    <n v="4"/>
    <s v="Missed"/>
    <x v="5"/>
    <n v="4"/>
    <x v="0"/>
  </r>
  <r>
    <s v="TXN-10814"/>
    <d v="2024-10-20T00:00:00"/>
    <x v="2"/>
    <s v="Uknown"/>
    <x v="4"/>
    <s v="Apparel"/>
    <n v="3403.3"/>
    <n v="2553.71"/>
    <n v="849.59"/>
    <m/>
    <n v="4"/>
    <s v="Met"/>
    <x v="5"/>
    <n v="4"/>
    <x v="0"/>
  </r>
  <r>
    <s v="TXN-10488"/>
    <d v="2024-04-21T00:00:00"/>
    <x v="3"/>
    <s v="Daniel Tan"/>
    <x v="1"/>
    <s v="Apparel"/>
    <n v="3194.27"/>
    <n v="2085.2800000000002"/>
    <n v="1108.99"/>
    <m/>
    <n v="3"/>
    <s v="Met"/>
    <x v="0"/>
    <n v="2"/>
    <x v="0"/>
  </r>
  <r>
    <s v="TXN-10648"/>
    <d v="2024-11-29T00:00:00"/>
    <x v="4"/>
    <s v="Aina Sofea"/>
    <x v="4"/>
    <s v="Automotive Parts"/>
    <n v="1405.3"/>
    <n v="1104.03"/>
    <n v="301.27"/>
    <m/>
    <n v="2"/>
    <s v="Met"/>
    <x v="8"/>
    <n v="4"/>
    <x v="0"/>
  </r>
  <r>
    <s v="TXN-10348"/>
    <d v="2024-09-20T00:00:00"/>
    <x v="4"/>
    <s v="Faisal Rashid"/>
    <x v="3"/>
    <s v="Groceries"/>
    <n v="2520.48"/>
    <n v="1872.08"/>
    <n v="648.4"/>
    <m/>
    <n v="5"/>
    <s v="Met"/>
    <x v="9"/>
    <n v="3"/>
    <x v="0"/>
  </r>
  <r>
    <s v="TXN-10990"/>
    <d v="2024-07-20T00:00:00"/>
    <x v="0"/>
    <s v="Izzat Fikri"/>
    <x v="0"/>
    <s v="Electronics"/>
    <n v="1770.76"/>
    <n v="1226.71"/>
    <n v="544.04999999999995"/>
    <m/>
    <n v="5"/>
    <s v="Met"/>
    <x v="3"/>
    <n v="3"/>
    <x v="0"/>
  </r>
  <r>
    <s v="TXN-10032"/>
    <d v="2024-12-13T00:00:00"/>
    <x v="3"/>
    <s v="Wei Jian"/>
    <x v="3"/>
    <s v="Furniture"/>
    <n v="2823.78"/>
    <n v="2064.31"/>
    <n v="759.47"/>
    <m/>
    <n v="4"/>
    <s v="Met"/>
    <x v="11"/>
    <n v="4"/>
    <x v="0"/>
  </r>
  <r>
    <s v="TXN-10557"/>
    <d v="2024-03-12T00:00:00"/>
    <x v="4"/>
    <s v="Faisal Rashid"/>
    <x v="1"/>
    <s v="Electronics"/>
    <n v="1759.43"/>
    <n v="1215.26"/>
    <n v="544.16999999999996"/>
    <m/>
    <n v="4"/>
    <s v="Met"/>
    <x v="6"/>
    <n v="1"/>
    <x v="0"/>
  </r>
  <r>
    <s v="TXN-10848"/>
    <d v="2024-11-16T00:00:00"/>
    <x v="3"/>
    <s v="Kevin Lim"/>
    <x v="2"/>
    <s v="Electronics"/>
    <n v="4128.34"/>
    <n v="2643.92"/>
    <n v="1484.42"/>
    <m/>
    <n v="5"/>
    <s v="Missed"/>
    <x v="8"/>
    <n v="4"/>
    <x v="0"/>
  </r>
  <r>
    <s v="TXN-10750"/>
    <d v="2024-08-06T00:00:00"/>
    <x v="4"/>
    <s v="Goh Wen Xin"/>
    <x v="5"/>
    <s v="Apparel"/>
    <n v="2301.6799999999998"/>
    <n v="1821.06"/>
    <n v="480.62"/>
    <n v="2"/>
    <n v="1"/>
    <s v="Met"/>
    <x v="2"/>
    <n v="3"/>
    <x v="1"/>
  </r>
  <r>
    <s v="TXN-10370"/>
    <d v="2024-10-17T00:00:00"/>
    <x v="1"/>
    <s v="Lee Jia Hui"/>
    <x v="3"/>
    <s v="Furniture"/>
    <n v="592.04999999999995"/>
    <n v="442.46"/>
    <n v="149.59"/>
    <m/>
    <n v="4"/>
    <s v="Met"/>
    <x v="5"/>
    <n v="4"/>
    <x v="0"/>
  </r>
  <r>
    <s v="TXN-10585"/>
    <d v="2024-11-15T00:00:00"/>
    <x v="3"/>
    <s v="Wei Jian"/>
    <x v="3"/>
    <s v="Apparel"/>
    <n v="3256.22"/>
    <n v="1872.08"/>
    <n v="1384.14"/>
    <m/>
    <n v="5"/>
    <s v="Met"/>
    <x v="8"/>
    <n v="4"/>
    <x v="0"/>
  </r>
  <r>
    <s v="TXN-10945"/>
    <d v="2024-08-19T00:00:00"/>
    <x v="3"/>
    <s v="Aisha Rahman"/>
    <x v="5"/>
    <s v="Groceries"/>
    <n v="2465.21"/>
    <n v="1366.99"/>
    <n v="1098.22"/>
    <m/>
    <n v="4"/>
    <s v="Missed"/>
    <x v="2"/>
    <n v="3"/>
    <x v="0"/>
  </r>
  <r>
    <s v="TXN-10816"/>
    <d v="2024-05-19T00:00:00"/>
    <x v="0"/>
    <s v="Wong Li Ting"/>
    <x v="2"/>
    <s v="Electronics"/>
    <n v="3354.84"/>
    <n v="2251.6799999999998"/>
    <n v="1103.1600000000001"/>
    <m/>
    <n v="5"/>
    <s v="Met"/>
    <x v="7"/>
    <n v="2"/>
    <x v="0"/>
  </r>
  <r>
    <s v="TXN-10425"/>
    <d v="2024-08-05T00:00:00"/>
    <x v="3"/>
    <s v="Nur Aina"/>
    <x v="2"/>
    <s v="Electronics"/>
    <n v="2166.4299999999998"/>
    <n v="1581.66"/>
    <n v="584.77"/>
    <m/>
    <n v="5"/>
    <s v="Missed"/>
    <x v="2"/>
    <n v="3"/>
    <x v="0"/>
  </r>
  <r>
    <s v="TXN-10344"/>
    <d v="2024-02-20T00:00:00"/>
    <x v="3"/>
    <s v="Raj Kumar"/>
    <x v="5"/>
    <s v="Electronics"/>
    <n v="1909.64"/>
    <n v="1377.57"/>
    <n v="532.07000000000005"/>
    <m/>
    <n v="3"/>
    <s v="Missed"/>
    <x v="10"/>
    <n v="1"/>
    <x v="0"/>
  </r>
  <r>
    <s v="TXN-10033"/>
    <d v="2024-06-16T00:00:00"/>
    <x v="2"/>
    <s v="Chong Kah Wei"/>
    <x v="5"/>
    <s v="Electronics"/>
    <n v="1172.0999999999999"/>
    <n v="1016.76"/>
    <n v="155.34"/>
    <n v="11"/>
    <n v="4"/>
    <s v="Met"/>
    <x v="4"/>
    <n v="2"/>
    <x v="1"/>
  </r>
  <r>
    <s v="TXN-10684"/>
    <d v="2024-01-15T00:00:00"/>
    <x v="1"/>
    <s v="Lee Jia Hui"/>
    <x v="5"/>
    <s v="Electronics"/>
    <n v="2203.2800000000002"/>
    <n v="1604.71"/>
    <n v="598.57000000000005"/>
    <m/>
    <n v="4"/>
    <s v="Met"/>
    <x v="1"/>
    <n v="1"/>
    <x v="0"/>
  </r>
  <r>
    <s v="TXN-10156"/>
    <d v="2024-05-17T00:00:00"/>
    <x v="1"/>
    <s v="Michelle Tan"/>
    <x v="5"/>
    <s v="Groceries"/>
    <n v="2746.63"/>
    <n v="2075.96"/>
    <n v="670.67"/>
    <m/>
    <n v="5"/>
    <s v="Met"/>
    <x v="7"/>
    <n v="2"/>
    <x v="0"/>
  </r>
  <r>
    <s v="TXN-10212"/>
    <d v="2024-09-14T00:00:00"/>
    <x v="4"/>
    <s v="Aina Sofea"/>
    <x v="0"/>
    <s v="Electronics"/>
    <n v="2776.61"/>
    <n v="2099.0100000000002"/>
    <n v="677.6"/>
    <m/>
    <n v="4"/>
    <s v="Met"/>
    <x v="9"/>
    <n v="3"/>
    <x v="0"/>
  </r>
  <r>
    <s v="TXN-10174"/>
    <d v="2024-10-10T00:00:00"/>
    <x v="4"/>
    <s v="Uknown"/>
    <x v="4"/>
    <s v="Furniture"/>
    <n v="1680.1"/>
    <n v="1079.01"/>
    <n v="601.09"/>
    <m/>
    <n v="5"/>
    <s v="Met"/>
    <x v="5"/>
    <n v="4"/>
    <x v="0"/>
  </r>
  <r>
    <s v="TXN-10460"/>
    <d v="2024-09-09T00:00:00"/>
    <x v="4"/>
    <s v="Suresh Pillai"/>
    <x v="1"/>
    <s v="Electronics"/>
    <n v="4281.72"/>
    <n v="2882.49"/>
    <n v="1399.23"/>
    <n v="7"/>
    <n v="1"/>
    <s v="Met"/>
    <x v="9"/>
    <n v="3"/>
    <x v="1"/>
  </r>
  <r>
    <s v="TXN-10409"/>
    <d v="2024-01-27T00:00:00"/>
    <x v="4"/>
    <s v="Faisal Rashid"/>
    <x v="3"/>
    <s v="Apparel"/>
    <n v="2298.6"/>
    <n v="1369.82"/>
    <n v="928.78"/>
    <m/>
    <n v="4"/>
    <s v="Met"/>
    <x v="1"/>
    <n v="1"/>
    <x v="0"/>
  </r>
  <r>
    <s v="TXN-10918"/>
    <d v="2024-03-22T00:00:00"/>
    <x v="0"/>
    <s v="Wong Li Ting"/>
    <x v="0"/>
    <s v="Apparel"/>
    <n v="1737"/>
    <n v="958.66"/>
    <n v="778.34"/>
    <n v="7"/>
    <m/>
    <s v="Met"/>
    <x v="6"/>
    <n v="1"/>
    <x v="1"/>
  </r>
  <r>
    <s v="TXN-10153"/>
    <d v="2024-06-01T00:00:00"/>
    <x v="2"/>
    <s v="Muthu Kannan"/>
    <x v="1"/>
    <s v="Apparel"/>
    <n v="3227.59"/>
    <n v="2678.37"/>
    <n v="549.22"/>
    <n v="5"/>
    <n v="2"/>
    <s v="Missed"/>
    <x v="4"/>
    <n v="2"/>
    <x v="1"/>
  </r>
  <r>
    <s v="TXN-10509"/>
    <d v="2024-02-02T00:00:00"/>
    <x v="3"/>
    <s v="Wei Jian"/>
    <x v="3"/>
    <s v="Electronics"/>
    <n v="1296.21"/>
    <n v="902.7"/>
    <n v="393.51"/>
    <m/>
    <n v="1"/>
    <s v="Met"/>
    <x v="10"/>
    <n v="1"/>
    <x v="0"/>
  </r>
  <r>
    <s v="TXN-10052"/>
    <d v="2024-06-01T00:00:00"/>
    <x v="4"/>
    <s v="Faisal Rashid"/>
    <x v="5"/>
    <s v="Furniture"/>
    <n v="2955.54"/>
    <n v="2054.04"/>
    <n v="901.5"/>
    <m/>
    <n v="4"/>
    <s v="Met"/>
    <x v="4"/>
    <n v="2"/>
    <x v="0"/>
  </r>
  <r>
    <s v="TXN-10897"/>
    <d v="2024-01-02T00:00:00"/>
    <x v="3"/>
    <s v="Raj Kumar"/>
    <x v="5"/>
    <s v="Furniture"/>
    <n v="2062.65"/>
    <n v="1143.29"/>
    <n v="919.36"/>
    <m/>
    <n v="5"/>
    <s v="Met"/>
    <x v="1"/>
    <n v="1"/>
    <x v="0"/>
  </r>
  <r>
    <s v="TXN-10391"/>
    <d v="2024-09-07T00:00:00"/>
    <x v="0"/>
    <s v="Maya Devi"/>
    <x v="5"/>
    <s v="Electronics"/>
    <n v="2669.2"/>
    <n v="1557.88"/>
    <n v="1111.32"/>
    <m/>
    <m/>
    <s v="Missed"/>
    <x v="9"/>
    <n v="3"/>
    <x v="0"/>
  </r>
  <r>
    <s v="TXN-10442"/>
    <d v="2024-09-15T00:00:00"/>
    <x v="2"/>
    <s v="Priya Devi"/>
    <x v="4"/>
    <s v="Apparel"/>
    <n v="519.98"/>
    <n v="370.84"/>
    <n v="149.13999999999999"/>
    <n v="4"/>
    <n v="4"/>
    <s v="Met"/>
    <x v="9"/>
    <n v="3"/>
    <x v="1"/>
  </r>
  <r>
    <s v="TXN-10539"/>
    <d v="2024-08-23T00:00:00"/>
    <x v="3"/>
    <s v="Farah Aziz"/>
    <x v="4"/>
    <s v="Electronics"/>
    <n v="1718.22"/>
    <n v="947.24"/>
    <n v="770.98"/>
    <m/>
    <n v="4"/>
    <s v="Missed"/>
    <x v="2"/>
    <n v="3"/>
    <x v="0"/>
  </r>
  <r>
    <s v="TXN-10392"/>
    <d v="2024-09-09T00:00:00"/>
    <x v="3"/>
    <s v="Wei Jian"/>
    <x v="1"/>
    <s v="Apparel"/>
    <n v="2805.65"/>
    <n v="1684.74"/>
    <n v="1120.9100000000001"/>
    <m/>
    <n v="4"/>
    <s v="Met"/>
    <x v="9"/>
    <n v="3"/>
    <x v="0"/>
  </r>
  <r>
    <s v="TXN-10737"/>
    <d v="2024-09-29T00:00:00"/>
    <x v="1"/>
    <s v="Michelle Tan"/>
    <x v="1"/>
    <s v="Apparel"/>
    <n v="1683.47"/>
    <n v="1205.95"/>
    <n v="477.52"/>
    <m/>
    <n v="4"/>
    <s v="Missed"/>
    <x v="9"/>
    <n v="3"/>
    <x v="0"/>
  </r>
  <r>
    <s v="TXN-10705"/>
    <d v="2024-12-13T00:00:00"/>
    <x v="1"/>
    <s v="Vikram Singh"/>
    <x v="3"/>
    <s v="Automotive Parts"/>
    <n v="1104.46"/>
    <n v="608.85"/>
    <n v="495.61"/>
    <n v="3"/>
    <n v="2"/>
    <s v="Met"/>
    <x v="11"/>
    <n v="4"/>
    <x v="1"/>
  </r>
  <r>
    <s v="TXN-10037"/>
    <d v="2024-11-29T00:00:00"/>
    <x v="0"/>
    <s v="Noraini Yaakob"/>
    <x v="0"/>
    <s v="Apparel"/>
    <n v="1054.78"/>
    <n v="793.25"/>
    <n v="261.52999999999997"/>
    <m/>
    <n v="4"/>
    <s v="Met"/>
    <x v="8"/>
    <n v="4"/>
    <x v="0"/>
  </r>
  <r>
    <s v="TXN-10053"/>
    <d v="2024-07-29T00:00:00"/>
    <x v="2"/>
    <s v="Chong Kah Wei"/>
    <x v="6"/>
    <s v="Furniture"/>
    <n v="296.22000000000003"/>
    <n v="255.89"/>
    <n v="40.33"/>
    <n v="9"/>
    <n v="1"/>
    <s v="Met"/>
    <x v="3"/>
    <n v="3"/>
    <x v="1"/>
  </r>
  <r>
    <s v="TXN-10547"/>
    <d v="2024-11-28T00:00:00"/>
    <x v="1"/>
    <s v="Farhana Ismail"/>
    <x v="2"/>
    <s v="Furniture"/>
    <n v="1074.42"/>
    <n v="747.88"/>
    <n v="326.54000000000002"/>
    <m/>
    <n v="5"/>
    <s v="Missed"/>
    <x v="8"/>
    <n v="4"/>
    <x v="0"/>
  </r>
  <r>
    <s v="TXN-10111"/>
    <d v="2024-05-04T00:00:00"/>
    <x v="0"/>
    <s v="Maya Devi"/>
    <x v="0"/>
    <s v="Apparel"/>
    <n v="255.76"/>
    <n v="201.3"/>
    <n v="54.46"/>
    <m/>
    <n v="4"/>
    <s v="Met"/>
    <x v="7"/>
    <n v="2"/>
    <x v="0"/>
  </r>
  <r>
    <s v="TXN-10683"/>
    <d v="2024-09-02T00:00:00"/>
    <x v="3"/>
    <s v="Nur Aina"/>
    <x v="1"/>
    <s v="Electronics"/>
    <n v="2372.64"/>
    <n v="1722.69"/>
    <n v="649.95000000000005"/>
    <m/>
    <n v="5"/>
    <s v="Met"/>
    <x v="9"/>
    <n v="3"/>
    <x v="0"/>
  </r>
  <r>
    <s v="TXN-10702"/>
    <d v="2024-09-30T00:00:00"/>
    <x v="0"/>
    <s v="Karthik Selvam"/>
    <x v="0"/>
    <s v="Electronics"/>
    <n v="702.27"/>
    <n v="497.37"/>
    <n v="204.9"/>
    <m/>
    <n v="4"/>
    <s v="Met"/>
    <x v="9"/>
    <n v="3"/>
    <x v="0"/>
  </r>
  <r>
    <s v="TXN-10177"/>
    <d v="2024-06-10T00:00:00"/>
    <x v="2"/>
    <s v="Priya Devi"/>
    <x v="0"/>
    <s v="Furniture"/>
    <n v="3252.24"/>
    <n v="2557.7199999999998"/>
    <n v="694.52"/>
    <n v="5"/>
    <n v="1"/>
    <s v="Met"/>
    <x v="4"/>
    <n v="2"/>
    <x v="1"/>
  </r>
  <r>
    <s v="TXN-10720"/>
    <d v="2024-09-04T00:00:00"/>
    <x v="2"/>
    <s v="Jasmine Wong"/>
    <x v="2"/>
    <s v="Groceries"/>
    <n v="3155.4"/>
    <n v="2218.66"/>
    <n v="936.74"/>
    <n v="10"/>
    <n v="3"/>
    <s v="Met"/>
    <x v="9"/>
    <n v="3"/>
    <x v="1"/>
  </r>
  <r>
    <s v="TXN-10826"/>
    <d v="2024-05-09T00:00:00"/>
    <x v="2"/>
    <s v="Hafiz Idris"/>
    <x v="2"/>
    <s v="Automotive Parts"/>
    <n v="876.3"/>
    <n v="618"/>
    <n v="258.3"/>
    <n v="13"/>
    <n v="5"/>
    <s v="Missed"/>
    <x v="7"/>
    <n v="2"/>
    <x v="1"/>
  </r>
  <r>
    <s v="TXN-10715"/>
    <d v="2024-11-06T00:00:00"/>
    <x v="4"/>
    <s v="Lim Pei Yi"/>
    <x v="1"/>
    <s v="Groceries"/>
    <n v="2317.75"/>
    <n v="1584.28"/>
    <n v="733.47"/>
    <m/>
    <n v="2"/>
    <s v="Met"/>
    <x v="8"/>
    <n v="4"/>
    <x v="0"/>
  </r>
  <r>
    <s v="TXN-10297"/>
    <d v="2024-05-16T00:00:00"/>
    <x v="1"/>
    <s v="Uknown"/>
    <x v="0"/>
    <s v="Electronics"/>
    <n v="2752.19"/>
    <n v="1736.23"/>
    <n v="1015.96"/>
    <n v="6"/>
    <n v="2"/>
    <s v="Met"/>
    <x v="7"/>
    <n v="2"/>
    <x v="1"/>
  </r>
  <r>
    <s v="TXN-10190"/>
    <d v="2024-05-11T00:00:00"/>
    <x v="2"/>
    <s v="Hafiz Idris"/>
    <x v="1"/>
    <s v="Electronics"/>
    <n v="2786.52"/>
    <n v="2392.1999999999998"/>
    <n v="394.32"/>
    <m/>
    <n v="5"/>
    <s v="Met"/>
    <x v="7"/>
    <n v="2"/>
    <x v="0"/>
  </r>
  <r>
    <s v="TXN-10829"/>
    <d v="2024-12-15T00:00:00"/>
    <x v="2"/>
    <s v="Amir Hakim"/>
    <x v="5"/>
    <s v="Automotive Parts"/>
    <n v="2805.75"/>
    <n v="2507.4"/>
    <n v="298.35000000000002"/>
    <n v="9"/>
    <n v="4"/>
    <s v="Met"/>
    <x v="11"/>
    <n v="4"/>
    <x v="1"/>
  </r>
  <r>
    <s v="TXN-10306"/>
    <d v="2024-11-09T00:00:00"/>
    <x v="1"/>
    <s v="Eddy Chong"/>
    <x v="4"/>
    <s v="Groceries"/>
    <n v="923.55"/>
    <n v="561.55999999999995"/>
    <n v="361.99"/>
    <m/>
    <n v="4"/>
    <s v="Met"/>
    <x v="8"/>
    <n v="4"/>
    <x v="0"/>
  </r>
  <r>
    <s v="TXN-10783"/>
    <d v="2024-11-30T00:00:00"/>
    <x v="4"/>
    <s v="Lim Pei Yi"/>
    <x v="0"/>
    <s v="Automotive Parts"/>
    <n v="2617.7199999999998"/>
    <n v="1618.15"/>
    <n v="999.57"/>
    <m/>
    <m/>
    <s v="Met"/>
    <x v="8"/>
    <n v="4"/>
    <x v="0"/>
  </r>
  <r>
    <s v="TXN-10931"/>
    <d v="2024-06-07T00:00:00"/>
    <x v="1"/>
    <s v="Eddy Chong"/>
    <x v="3"/>
    <s v="Electronics"/>
    <n v="4507.67"/>
    <n v="2999.82"/>
    <n v="1507.85"/>
    <m/>
    <n v="5"/>
    <s v="Met"/>
    <x v="4"/>
    <n v="2"/>
    <x v="0"/>
  </r>
  <r>
    <s v="TXN-10824"/>
    <d v="2024-09-18T00:00:00"/>
    <x v="4"/>
    <s v="Aina Sofea"/>
    <x v="4"/>
    <s v="Groceries"/>
    <n v="1451.21"/>
    <n v="1101.04"/>
    <n v="350.17"/>
    <m/>
    <n v="4"/>
    <s v="Missed"/>
    <x v="9"/>
    <n v="3"/>
    <x v="0"/>
  </r>
  <r>
    <s v="TXN-10852"/>
    <d v="2024-06-27T00:00:00"/>
    <x v="4"/>
    <s v="Brandon Ong"/>
    <x v="0"/>
    <s v="Groceries"/>
    <n v="3407.34"/>
    <n v="2037.46"/>
    <n v="1369.88"/>
    <m/>
    <n v="4"/>
    <s v="Met"/>
    <x v="4"/>
    <n v="2"/>
    <x v="0"/>
  </r>
  <r>
    <s v="TXN-10188"/>
    <d v="2024-03-30T00:00:00"/>
    <x v="4"/>
    <s v="Aina Sofea"/>
    <x v="0"/>
    <s v="Groceries"/>
    <n v="1417.59"/>
    <n v="1039.8"/>
    <n v="377.79"/>
    <n v="7"/>
    <n v="4"/>
    <s v="Met"/>
    <x v="6"/>
    <n v="1"/>
    <x v="1"/>
  </r>
  <r>
    <s v="TXN-10832"/>
    <d v="2024-08-29T00:00:00"/>
    <x v="3"/>
    <s v="Raj Kumar"/>
    <x v="2"/>
    <s v="Furniture"/>
    <n v="1974.38"/>
    <n v="1270.1500000000001"/>
    <n v="704.23"/>
    <m/>
    <n v="4"/>
    <s v="Met"/>
    <x v="2"/>
    <n v="3"/>
    <x v="0"/>
  </r>
  <r>
    <s v="TXN-10417"/>
    <d v="2024-06-10T00:00:00"/>
    <x v="4"/>
    <s v="Goh Wen Xin"/>
    <x v="3"/>
    <s v="Automotive Parts"/>
    <n v="2618.5100000000002"/>
    <n v="1761.78"/>
    <n v="856.73"/>
    <m/>
    <n v="5"/>
    <s v="Met"/>
    <x v="4"/>
    <n v="2"/>
    <x v="0"/>
  </r>
  <r>
    <s v="TXN-10786"/>
    <d v="2024-04-04T00:00:00"/>
    <x v="2"/>
    <s v="Jasmine Wong"/>
    <x v="5"/>
    <s v="Apparel"/>
    <n v="430.09"/>
    <n v="366.69"/>
    <n v="63.4"/>
    <n v="11"/>
    <n v="2"/>
    <s v="Met"/>
    <x v="0"/>
    <n v="2"/>
    <x v="1"/>
  </r>
  <r>
    <s v="TXN-10965"/>
    <d v="2024-08-21T00:00:00"/>
    <x v="4"/>
    <s v="Aina Sofea"/>
    <x v="2"/>
    <s v="Furniture"/>
    <n v="2679.13"/>
    <n v="2113.09"/>
    <n v="566.04"/>
    <n v="6"/>
    <n v="5"/>
    <s v="Missed"/>
    <x v="2"/>
    <n v="3"/>
    <x v="1"/>
  </r>
  <r>
    <s v="TXN-10400"/>
    <d v="2024-09-29T00:00:00"/>
    <x v="0"/>
    <s v="Karthik Selvam"/>
    <x v="4"/>
    <s v="Automotive Parts"/>
    <n v="2859.93"/>
    <n v="2182.6799999999998"/>
    <n v="677.25"/>
    <m/>
    <n v="2"/>
    <s v="Met"/>
    <x v="9"/>
    <n v="3"/>
    <x v="0"/>
  </r>
  <r>
    <s v="TXN-10155"/>
    <d v="2024-07-31T00:00:00"/>
    <x v="0"/>
    <s v="Roslan Ahmad"/>
    <x v="3"/>
    <s v="Apparel"/>
    <n v="2528.98"/>
    <n v="1671.56"/>
    <n v="857.42"/>
    <n v="5"/>
    <n v="1"/>
    <s v="Met"/>
    <x v="3"/>
    <n v="3"/>
    <x v="1"/>
  </r>
  <r>
    <s v="TXN-10717"/>
    <d v="2024-05-05T00:00:00"/>
    <x v="0"/>
    <s v="Noraini Yaakob"/>
    <x v="1"/>
    <s v="Groceries"/>
    <n v="2685.88"/>
    <n v="1707.17"/>
    <n v="978.71"/>
    <m/>
    <n v="4"/>
    <s v="Met"/>
    <x v="7"/>
    <n v="2"/>
    <x v="0"/>
  </r>
  <r>
    <s v="TXN-10572"/>
    <d v="2024-09-13T00:00:00"/>
    <x v="2"/>
    <s v="Priya Devi"/>
    <x v="1"/>
    <s v="Electronics"/>
    <n v="2828.91"/>
    <n v="2385.64"/>
    <n v="443.27"/>
    <m/>
    <n v="4"/>
    <s v="Met"/>
    <x v="9"/>
    <n v="3"/>
    <x v="0"/>
  </r>
  <r>
    <s v="TXN-10602"/>
    <d v="2024-12-18T00:00:00"/>
    <x v="4"/>
    <s v="Lim Pei Yi"/>
    <x v="2"/>
    <s v="Automotive Parts"/>
    <n v="3057.85"/>
    <n v="1880.34"/>
    <n v="1177.51"/>
    <n v="5"/>
    <n v="2"/>
    <s v="Met"/>
    <x v="11"/>
    <n v="4"/>
    <x v="1"/>
  </r>
  <r>
    <s v="TXN-10865"/>
    <d v="2024-08-04T00:00:00"/>
    <x v="2"/>
    <s v="Uknown"/>
    <x v="4"/>
    <s v="Groceries"/>
    <n v="3147.99"/>
    <n v="2367.21"/>
    <n v="780.78"/>
    <m/>
    <n v="5"/>
    <s v="Missed"/>
    <x v="2"/>
    <n v="3"/>
    <x v="0"/>
  </r>
  <r>
    <s v="TXN-10477"/>
    <d v="2024-09-22T00:00:00"/>
    <x v="2"/>
    <s v="Amir Hakim"/>
    <x v="5"/>
    <s v="Furniture"/>
    <n v="1327.78"/>
    <n v="1100.03"/>
    <n v="227.75"/>
    <m/>
    <n v="4"/>
    <s v="Met"/>
    <x v="9"/>
    <n v="3"/>
    <x v="0"/>
  </r>
  <r>
    <s v="TXN-10863"/>
    <d v="2024-11-26T00:00:00"/>
    <x v="2"/>
    <s v="Sarah Lee"/>
    <x v="0"/>
    <s v="Automotive Parts"/>
    <n v="1882.52"/>
    <n v="1537.65"/>
    <n v="344.87"/>
    <m/>
    <n v="4"/>
    <s v="Met"/>
    <x v="8"/>
    <n v="4"/>
    <x v="0"/>
  </r>
  <r>
    <s v="TXN-10284"/>
    <d v="2024-09-05T00:00:00"/>
    <x v="2"/>
    <s v="Amir Hakim"/>
    <x v="4"/>
    <s v="Automotive Parts"/>
    <n v="2517.1999999999998"/>
    <n v="2071.62"/>
    <n v="445.58"/>
    <n v="10"/>
    <n v="3"/>
    <s v="Missed"/>
    <x v="9"/>
    <n v="3"/>
    <x v="1"/>
  </r>
  <r>
    <s v="TXN-10652"/>
    <d v="2024-03-11T00:00:00"/>
    <x v="0"/>
    <s v="Wong Li Ting"/>
    <x v="1"/>
    <s v="Groceries"/>
    <n v="2178.58"/>
    <n v="1631.68"/>
    <n v="546.9"/>
    <m/>
    <n v="4"/>
    <s v="Met"/>
    <x v="6"/>
    <n v="1"/>
    <x v="0"/>
  </r>
  <r>
    <s v="TXN-10148"/>
    <d v="2024-02-25T00:00:00"/>
    <x v="1"/>
    <s v="Michelle Tan"/>
    <x v="1"/>
    <s v="Automotive Parts"/>
    <n v="2726"/>
    <n v="1947.46"/>
    <n v="778.54"/>
    <n v="7"/>
    <n v="5"/>
    <s v="Met"/>
    <x v="10"/>
    <n v="1"/>
    <x v="1"/>
  </r>
  <r>
    <s v="TXN-10833"/>
    <d v="2024-09-10T00:00:00"/>
    <x v="2"/>
    <s v="Chong Kah Wei"/>
    <x v="1"/>
    <s v="Apparel"/>
    <n v="2413.63"/>
    <n v="1906.1"/>
    <n v="507.53"/>
    <n v="7"/>
    <n v="5"/>
    <s v="Met"/>
    <x v="9"/>
    <n v="3"/>
    <x v="1"/>
  </r>
  <r>
    <s v="TXN-10317"/>
    <d v="2024-06-11T00:00:00"/>
    <x v="4"/>
    <s v="Brandon Ong"/>
    <x v="3"/>
    <s v="Groceries"/>
    <n v="1019.86"/>
    <n v="707.56"/>
    <n v="312.3"/>
    <m/>
    <n v="4"/>
    <s v="Met"/>
    <x v="4"/>
    <n v="2"/>
    <x v="0"/>
  </r>
  <r>
    <s v="TXN-10631"/>
    <d v="2024-04-16T00:00:00"/>
    <x v="1"/>
    <s v="Michelle Tan"/>
    <x v="3"/>
    <s v="Electronics"/>
    <n v="2060.7399999999998"/>
    <n v="1377.47"/>
    <n v="683.27"/>
    <m/>
    <n v="5"/>
    <s v="Met"/>
    <x v="0"/>
    <n v="2"/>
    <x v="0"/>
  </r>
  <r>
    <s v="TXN-10495"/>
    <d v="2024-12-13T00:00:00"/>
    <x v="4"/>
    <s v="Goh Wen Xin"/>
    <x v="1"/>
    <s v="Apparel"/>
    <n v="3247.25"/>
    <n v="2412.2199999999998"/>
    <n v="835.03"/>
    <m/>
    <n v="5"/>
    <s v="Met"/>
    <x v="11"/>
    <n v="4"/>
    <x v="0"/>
  </r>
  <r>
    <s v="TXN-10637"/>
    <d v="2024-02-17T00:00:00"/>
    <x v="0"/>
    <s v="Hock Seng"/>
    <x v="5"/>
    <s v="Electronics"/>
    <n v="2121.87"/>
    <n v="1287.51"/>
    <n v="834.36"/>
    <m/>
    <n v="5"/>
    <s v="Missed"/>
    <x v="10"/>
    <n v="1"/>
    <x v="1"/>
  </r>
  <r>
    <s v="TXN-10969"/>
    <d v="2024-03-07T00:00:00"/>
    <x v="0"/>
    <s v="Noraini Yaakob"/>
    <x v="1"/>
    <s v="Apparel"/>
    <n v="1222.3900000000001"/>
    <n v="848.58"/>
    <n v="373.81"/>
    <m/>
    <n v="4"/>
    <s v="Met"/>
    <x v="6"/>
    <n v="1"/>
    <x v="0"/>
  </r>
  <r>
    <s v="TXN-10078"/>
    <d v="2024-11-26T00:00:00"/>
    <x v="4"/>
    <s v="Goh Wen Xin"/>
    <x v="4"/>
    <s v="Apparel"/>
    <n v="2880.37"/>
    <n v="1754.34"/>
    <n v="1126.03"/>
    <m/>
    <n v="3"/>
    <s v="Met"/>
    <x v="8"/>
    <n v="4"/>
    <x v="0"/>
  </r>
  <r>
    <s v="TXN-10659"/>
    <d v="2024-03-02T00:00:00"/>
    <x v="3"/>
    <s v="Nur Aina"/>
    <x v="1"/>
    <s v="Apparel"/>
    <n v="1638.76"/>
    <n v="1078.4100000000001"/>
    <n v="560.35"/>
    <n v="5"/>
    <n v="3"/>
    <s v="Missed"/>
    <x v="6"/>
    <n v="1"/>
    <x v="1"/>
  </r>
  <r>
    <s v="TXN-10565"/>
    <d v="2024-09-01T00:00:00"/>
    <x v="3"/>
    <s v="Aisha Rahman"/>
    <x v="1"/>
    <s v="Groceries"/>
    <n v="2955.41"/>
    <n v="2268.63"/>
    <n v="686.78"/>
    <n v="4"/>
    <n v="1"/>
    <s v="Met"/>
    <x v="9"/>
    <n v="3"/>
    <x v="1"/>
  </r>
  <r>
    <s v="TXN-10870"/>
    <d v="2024-07-21T00:00:00"/>
    <x v="2"/>
    <s v="Sarah Lee"/>
    <x v="1"/>
    <s v="Apparel"/>
    <n v="969.05"/>
    <n v="681.83"/>
    <n v="287.22000000000003"/>
    <m/>
    <n v="4"/>
    <s v="Met"/>
    <x v="3"/>
    <n v="3"/>
    <x v="0"/>
  </r>
  <r>
    <s v="TXN-10381"/>
    <d v="2024-06-29T00:00:00"/>
    <x v="4"/>
    <s v="Aina Sofea"/>
    <x v="5"/>
    <s v="Groceries"/>
    <n v="2908.1"/>
    <n v="1608.83"/>
    <n v="1299.27"/>
    <m/>
    <n v="4"/>
    <s v="Met"/>
    <x v="4"/>
    <n v="2"/>
    <x v="0"/>
  </r>
  <r>
    <s v="TXN-10973"/>
    <d v="2024-10-21T00:00:00"/>
    <x v="4"/>
    <s v="Suresh Pillai"/>
    <x v="3"/>
    <s v="Electronics"/>
    <n v="1147.45"/>
    <n v="694.68"/>
    <n v="452.77"/>
    <m/>
    <n v="5"/>
    <s v="Missed"/>
    <x v="5"/>
    <n v="4"/>
    <x v="0"/>
  </r>
  <r>
    <s v="TXN-10221"/>
    <d v="2024-10-12T00:00:00"/>
    <x v="0"/>
    <s v="Hock Seng"/>
    <x v="0"/>
    <s v="Apparel"/>
    <n v="3138.41"/>
    <n v="2207.02"/>
    <n v="931.39"/>
    <m/>
    <n v="5"/>
    <s v="Met"/>
    <x v="5"/>
    <n v="4"/>
    <x v="0"/>
  </r>
  <r>
    <s v="TXN-10579"/>
    <d v="2024-02-11T00:00:00"/>
    <x v="2"/>
    <s v="Chong Kah Wei"/>
    <x v="5"/>
    <s v="Electronics"/>
    <n v="1149.43"/>
    <n v="984.7"/>
    <n v="164.73"/>
    <m/>
    <n v="4"/>
    <s v="Met"/>
    <x v="10"/>
    <n v="1"/>
    <x v="0"/>
  </r>
  <r>
    <s v="TXN-10103"/>
    <d v="2024-10-19T00:00:00"/>
    <x v="4"/>
    <s v="Aina Sofea"/>
    <x v="1"/>
    <s v="Electronics"/>
    <n v="2277.62"/>
    <n v="1536.28"/>
    <n v="741.34"/>
    <m/>
    <n v="4"/>
    <s v="Met"/>
    <x v="5"/>
    <n v="4"/>
    <x v="0"/>
  </r>
  <r>
    <s v="TXN-10279"/>
    <d v="2024-08-25T00:00:00"/>
    <x v="4"/>
    <s v="Nabilah Yusof"/>
    <x v="3"/>
    <s v="Automotive Parts"/>
    <n v="2484.73"/>
    <n v="1386.32"/>
    <n v="1098.4100000000001"/>
    <m/>
    <n v="2"/>
    <s v="Met"/>
    <x v="2"/>
    <n v="3"/>
    <x v="0"/>
  </r>
  <r>
    <s v="TXN-10606"/>
    <d v="2024-07-23T00:00:00"/>
    <x v="1"/>
    <s v="Syafiq Azman"/>
    <x v="2"/>
    <s v="Electronic"/>
    <n v="1050.3699999999999"/>
    <n v="620.82000000000005"/>
    <n v="429.55"/>
    <m/>
    <n v="3"/>
    <s v="Met"/>
    <x v="3"/>
    <n v="3"/>
    <x v="0"/>
  </r>
  <r>
    <s v="TXN-10507"/>
    <d v="2024-03-27T00:00:00"/>
    <x v="0"/>
    <s v="Maya Devi"/>
    <x v="1"/>
    <s v="Furniture"/>
    <n v="2884.9"/>
    <n v="1587.83"/>
    <n v="1297.07"/>
    <m/>
    <n v="4"/>
    <s v="Met"/>
    <x v="6"/>
    <n v="1"/>
    <x v="0"/>
  </r>
  <r>
    <s v="TXN-10058"/>
    <d v="2024-09-04T00:00:00"/>
    <x v="4"/>
    <s v="Brandon Ong"/>
    <x v="0"/>
    <s v="Automotive Parts"/>
    <n v="507.29"/>
    <n v="327.38"/>
    <n v="179.91"/>
    <m/>
    <n v="4"/>
    <s v="Met"/>
    <x v="9"/>
    <n v="3"/>
    <x v="0"/>
  </r>
  <r>
    <s v="TXN-11000"/>
    <d v="2024-07-06T00:00:00"/>
    <x v="1"/>
    <s v="Anand Raj"/>
    <x v="0"/>
    <s v="Apparel"/>
    <n v="3481.8"/>
    <n v="2219.63"/>
    <n v="1262.17"/>
    <m/>
    <n v="5"/>
    <s v="Met"/>
    <x v="3"/>
    <n v="3"/>
    <x v="0"/>
  </r>
  <r>
    <s v="TXN-10068"/>
    <d v="2024-06-13T00:00:00"/>
    <x v="0"/>
    <s v="Izzat Fikri"/>
    <x v="5"/>
    <s v="Automotive Parts"/>
    <n v="2187.8000000000002"/>
    <n v="1239.21"/>
    <n v="948.59"/>
    <m/>
    <n v="5"/>
    <s v="Met"/>
    <x v="4"/>
    <n v="2"/>
    <x v="0"/>
  </r>
  <r>
    <s v="TXN-10287"/>
    <d v="2024-07-17T00:00:00"/>
    <x v="3"/>
    <s v="Nur Aina"/>
    <x v="5"/>
    <s v="Groceries"/>
    <n v="2354.04"/>
    <n v="1604.17"/>
    <n v="749.87"/>
    <n v="2"/>
    <n v="1"/>
    <s v="Met"/>
    <x v="3"/>
    <n v="3"/>
    <x v="1"/>
  </r>
  <r>
    <s v="TXN-10275"/>
    <d v="2024-04-26T00:00:00"/>
    <x v="4"/>
    <s v="Brandon Ong"/>
    <x v="4"/>
    <s v="Groceries"/>
    <n v="2845.77"/>
    <n v="1879.53"/>
    <n v="966.24"/>
    <m/>
    <n v="1"/>
    <s v="Met"/>
    <x v="0"/>
    <n v="2"/>
    <x v="0"/>
  </r>
  <r>
    <s v="TXN-10914"/>
    <d v="2024-10-07T00:00:00"/>
    <x v="3"/>
    <s v="Kevin Lim"/>
    <x v="5"/>
    <s v="Apparel"/>
    <n v="1628.29"/>
    <n v="950.81"/>
    <n v="677.48"/>
    <m/>
    <n v="4"/>
    <s v="Met"/>
    <x v="5"/>
    <n v="4"/>
    <x v="0"/>
  </r>
  <r>
    <s v="TXN-10940"/>
    <d v="2024-06-20T00:00:00"/>
    <x v="3"/>
    <s v="Nur Aina"/>
    <x v="0"/>
    <s v="Furniture"/>
    <n v="1281.28"/>
    <n v="729.29"/>
    <n v="551.99"/>
    <m/>
    <n v="5"/>
    <s v="Met"/>
    <x v="4"/>
    <n v="2"/>
    <x v="0"/>
  </r>
  <r>
    <s v="TXN-10835"/>
    <d v="2024-10-08T00:00:00"/>
    <x v="1"/>
    <s v="Michelle Tan"/>
    <x v="5"/>
    <s v="Electronics"/>
    <n v="3107.66"/>
    <n v="1885.4"/>
    <n v="1222.26"/>
    <m/>
    <n v="5"/>
    <s v="Met"/>
    <x v="5"/>
    <n v="4"/>
    <x v="0"/>
  </r>
  <r>
    <s v="TXN-10953"/>
    <d v="2024-01-01T00:00:00"/>
    <x v="2"/>
    <s v="Chong Kah Wei"/>
    <x v="3"/>
    <s v="Apparel"/>
    <n v="171.82"/>
    <n v="152.49"/>
    <n v="19.329999999999998"/>
    <m/>
    <n v="4"/>
    <s v="Met"/>
    <x v="1"/>
    <n v="1"/>
    <x v="0"/>
  </r>
  <r>
    <s v="TXN-10365"/>
    <d v="2024-06-20T00:00:00"/>
    <x v="2"/>
    <s v="Priya Devi"/>
    <x v="1"/>
    <s v="Electronics"/>
    <n v="3318.66"/>
    <n v="3013.25"/>
    <n v="305.41000000000003"/>
    <m/>
    <n v="4"/>
    <s v="Met"/>
    <x v="4"/>
    <n v="2"/>
    <x v="0"/>
  </r>
  <r>
    <s v="TXN-10669"/>
    <d v="2024-10-04T00:00:00"/>
    <x v="0"/>
    <s v="Karthik Selvam"/>
    <x v="5"/>
    <s v="Electronics"/>
    <n v="2836.07"/>
    <n v="2081.59"/>
    <n v="754.48"/>
    <m/>
    <n v="4"/>
    <s v="Met"/>
    <x v="5"/>
    <n v="4"/>
    <x v="0"/>
  </r>
  <r>
    <s v="TXN-10626"/>
    <d v="2024-09-19T00:00:00"/>
    <x v="4"/>
    <s v="Brandon Ong"/>
    <x v="1"/>
    <s v="Groceries"/>
    <n v="360.27"/>
    <n v="257.23"/>
    <n v="103.04"/>
    <m/>
    <n v="4"/>
    <s v="Met"/>
    <x v="9"/>
    <n v="3"/>
    <x v="0"/>
  </r>
  <r>
    <s v="TXN-10088"/>
    <d v="2024-07-21T00:00:00"/>
    <x v="4"/>
    <s v="Nabilah Yusof"/>
    <x v="5"/>
    <s v="Furniture"/>
    <n v="1831.72"/>
    <n v="1115.42"/>
    <n v="716.3"/>
    <m/>
    <n v="5"/>
    <s v="Met"/>
    <x v="3"/>
    <n v="3"/>
    <x v="1"/>
  </r>
  <r>
    <s v="TXN-10780"/>
    <d v="2024-06-09T00:00:00"/>
    <x v="1"/>
    <s v="Syafiq Azman"/>
    <x v="2"/>
    <s v="Electronics"/>
    <n v="3774.3"/>
    <n v="2120.41"/>
    <n v="1653.89"/>
    <m/>
    <n v="4"/>
    <s v="Met"/>
    <x v="4"/>
    <n v="2"/>
    <x v="0"/>
  </r>
  <r>
    <s v="TXN-10175"/>
    <d v="2024-07-28T00:00:00"/>
    <x v="2"/>
    <s v="Hafiz Idris"/>
    <x v="0"/>
    <s v="Electronics"/>
    <n v="331.24"/>
    <n v="278.20999999999998"/>
    <n v="53.03"/>
    <m/>
    <n v="5"/>
    <s v="Met"/>
    <x v="3"/>
    <n v="3"/>
    <x v="0"/>
  </r>
  <r>
    <s v="TXN-10671"/>
    <d v="2024-01-13T00:00:00"/>
    <x v="3"/>
    <s v="Raj Kumar"/>
    <x v="3"/>
    <s v="Electronics"/>
    <n v="1481.12"/>
    <n v="900.56"/>
    <n v="580.55999999999995"/>
    <m/>
    <n v="4"/>
    <s v="Missed"/>
    <x v="1"/>
    <n v="1"/>
    <x v="0"/>
  </r>
  <r>
    <s v="TXN-10070"/>
    <d v="2024-02-13T00:00:00"/>
    <x v="0"/>
    <s v="Wong Li Ting"/>
    <x v="5"/>
    <s v="Electronics"/>
    <n v="462.32"/>
    <n v="265.44"/>
    <n v="196.88"/>
    <m/>
    <n v="4"/>
    <s v="Met"/>
    <x v="10"/>
    <n v="1"/>
    <x v="0"/>
  </r>
  <r>
    <s v="TXN-10041"/>
    <d v="2024-02-21T00:00:00"/>
    <x v="1"/>
    <s v="Michelle Tan"/>
    <x v="2"/>
    <s v="Furniture"/>
    <n v="2939.31"/>
    <n v="1834.31"/>
    <n v="1105"/>
    <n v="6"/>
    <n v="1"/>
    <s v="Missed"/>
    <x v="10"/>
    <n v="1"/>
    <x v="0"/>
  </r>
  <r>
    <s v="TXN-10171"/>
    <d v="2024-01-16T00:00:00"/>
    <x v="4"/>
    <s v="Nabilah Yusof"/>
    <x v="1"/>
    <s v="Automotive Parts"/>
    <n v="1272.29"/>
    <n v="836.32"/>
    <n v="435.97"/>
    <m/>
    <n v="5"/>
    <s v="Met"/>
    <x v="1"/>
    <n v="1"/>
    <x v="0"/>
  </r>
  <r>
    <s v="TXN-10812"/>
    <d v="2024-09-10T00:00:00"/>
    <x v="4"/>
    <s v="Aina Sofea"/>
    <x v="0"/>
    <s v="Electronics"/>
    <n v="3966.83"/>
    <n v="2194.62"/>
    <n v="1772.21"/>
    <m/>
    <n v="4"/>
    <s v="Met"/>
    <x v="9"/>
    <n v="3"/>
    <x v="0"/>
  </r>
  <r>
    <s v="TXN-10706"/>
    <d v="2024-12-30T00:00:00"/>
    <x v="2"/>
    <s v="Chong Kah Wei"/>
    <x v="5"/>
    <s v="Groceries"/>
    <n v="2191.21"/>
    <n v="1755.91"/>
    <n v="435.3"/>
    <m/>
    <n v="4"/>
    <s v="Met"/>
    <x v="11"/>
    <n v="4"/>
    <x v="0"/>
  </r>
  <r>
    <s v="TXN-10137"/>
    <d v="2024-07-12T00:00:00"/>
    <x v="3"/>
    <s v="Aisha Rahman"/>
    <x v="5"/>
    <s v="Furniture"/>
    <n v="2001.55"/>
    <n v="1128.93"/>
    <n v="872.62"/>
    <m/>
    <n v="5"/>
    <s v="Met"/>
    <x v="3"/>
    <n v="3"/>
    <x v="0"/>
  </r>
  <r>
    <s v="TXN-10406"/>
    <d v="2024-11-06T00:00:00"/>
    <x v="3"/>
    <s v="Aisha Rahman"/>
    <x v="1"/>
    <s v="Automotive Parts"/>
    <n v="266.61"/>
    <n v="195.92"/>
    <n v="70.69"/>
    <m/>
    <n v="4"/>
    <s v="Met"/>
    <x v="8"/>
    <n v="4"/>
    <x v="0"/>
  </r>
  <r>
    <s v="TXN-10131"/>
    <d v="2024-12-26T00:00:00"/>
    <x v="0"/>
    <s v="Wong Li Ting"/>
    <x v="0"/>
    <s v="Apparel"/>
    <n v="835.12"/>
    <n v="650.38"/>
    <n v="184.74"/>
    <m/>
    <n v="4"/>
    <s v="Met"/>
    <x v="11"/>
    <n v="4"/>
    <x v="0"/>
  </r>
  <r>
    <s v="TXN-10559"/>
    <d v="2024-04-24T00:00:00"/>
    <x v="0"/>
    <s v="Wong Li Ting"/>
    <x v="0"/>
    <s v="Automotive Parts"/>
    <n v="490.82"/>
    <n v="387.24"/>
    <n v="103.58"/>
    <n v="6"/>
    <n v="5"/>
    <s v="Met"/>
    <x v="0"/>
    <n v="2"/>
    <x v="1"/>
  </r>
  <r>
    <s v="TXN-10978"/>
    <d v="2024-07-03T00:00:00"/>
    <x v="2"/>
    <s v="Priya Devi"/>
    <x v="3"/>
    <s v="Electronics"/>
    <n v="903.82"/>
    <n v="737.42"/>
    <n v="166.4"/>
    <m/>
    <n v="5"/>
    <s v="Met"/>
    <x v="3"/>
    <n v="3"/>
    <x v="0"/>
  </r>
  <r>
    <s v="TXN-10884"/>
    <d v="2024-04-17T00:00:00"/>
    <x v="2"/>
    <s v="Muthu Kannan"/>
    <x v="4"/>
    <s v="Groceries"/>
    <n v="956.28"/>
    <n v="700.68"/>
    <n v="255.6"/>
    <n v="5"/>
    <n v="1"/>
    <s v="Met"/>
    <x v="0"/>
    <n v="2"/>
    <x v="1"/>
  </r>
  <r>
    <s v="TXN-10653"/>
    <d v="2024-05-14T00:00:00"/>
    <x v="3"/>
    <s v="Uknown"/>
    <x v="0"/>
    <s v="Electronics"/>
    <n v="2714.46"/>
    <n v="1975.71"/>
    <n v="738.75"/>
    <m/>
    <n v="2"/>
    <s v="Met"/>
    <x v="7"/>
    <n v="2"/>
    <x v="0"/>
  </r>
  <r>
    <s v="TXN-10723"/>
    <d v="2024-02-02T00:00:00"/>
    <x v="2"/>
    <s v="Zulkifli Hassan"/>
    <x v="1"/>
    <s v="Apparel"/>
    <n v="3185.57"/>
    <n v="2322.79"/>
    <n v="862.78"/>
    <n v="13"/>
    <n v="1"/>
    <s v="Met"/>
    <x v="10"/>
    <n v="1"/>
    <x v="1"/>
  </r>
  <r>
    <s v="TXN-10198"/>
    <d v="2024-02-21T00:00:00"/>
    <x v="1"/>
    <s v="Farhana Ismail"/>
    <x v="2"/>
    <s v="Groceries"/>
    <n v="3248.51"/>
    <n v="2243.65"/>
    <n v="1004.86"/>
    <m/>
    <n v="5"/>
    <s v="Met"/>
    <x v="10"/>
    <n v="1"/>
    <x v="0"/>
  </r>
  <r>
    <s v="TXN-10944"/>
    <d v="2024-09-27T00:00:00"/>
    <x v="4"/>
    <s v="Suresh Pillai"/>
    <x v="2"/>
    <s v="Electronics"/>
    <n v="5255.01"/>
    <n v="3340.36"/>
    <n v="1914.65"/>
    <m/>
    <n v="4"/>
    <s v="Met"/>
    <x v="9"/>
    <n v="3"/>
    <x v="0"/>
  </r>
  <r>
    <s v="TXN-10116"/>
    <d v="2024-08-31T00:00:00"/>
    <x v="2"/>
    <s v="Zulkifli Hassan"/>
    <x v="3"/>
    <s v="Groceries"/>
    <n v="1749.45"/>
    <n v="1301.3800000000001"/>
    <n v="448.07"/>
    <n v="8"/>
    <n v="2"/>
    <s v="Met"/>
    <x v="2"/>
    <n v="3"/>
    <x v="1"/>
  </r>
  <r>
    <s v="TXN-10638"/>
    <d v="2024-09-02T00:00:00"/>
    <x v="4"/>
    <s v="Nabilah Yusof"/>
    <x v="0"/>
    <s v="Groceries"/>
    <n v="2352.9"/>
    <n v="1680.32"/>
    <n v="672.58"/>
    <m/>
    <n v="4"/>
    <s v="Met"/>
    <x v="9"/>
    <n v="3"/>
    <x v="0"/>
  </r>
  <r>
    <s v="TXN-10620"/>
    <d v="2024-05-04T00:00:00"/>
    <x v="2"/>
    <s v="Zulkifli Hassan"/>
    <x v="2"/>
    <s v="Automotive Parts"/>
    <n v="2094.08"/>
    <n v="1637.75"/>
    <n v="456.33"/>
    <n v="9"/>
    <n v="2"/>
    <s v="Met"/>
    <x v="7"/>
    <n v="2"/>
    <x v="1"/>
  </r>
  <r>
    <s v="TXN-10813"/>
    <d v="2024-08-30T00:00:00"/>
    <x v="2"/>
    <s v="Chong Kah Wei"/>
    <x v="4"/>
    <s v="Groceries"/>
    <n v="361.47"/>
    <n v="288.58"/>
    <n v="72.89"/>
    <n v="8"/>
    <n v="3"/>
    <s v="Met"/>
    <x v="2"/>
    <n v="3"/>
    <x v="1"/>
  </r>
  <r>
    <s v="TXN-10239"/>
    <d v="2024-08-18T00:00:00"/>
    <x v="2"/>
    <s v="Hafiz Idris"/>
    <x v="4"/>
    <s v="Furniture"/>
    <n v="2261.23"/>
    <n v="1798.28"/>
    <n v="462.95"/>
    <m/>
    <n v="1"/>
    <s v="Met"/>
    <x v="2"/>
    <n v="3"/>
    <x v="0"/>
  </r>
  <r>
    <s v="TXN-10223"/>
    <d v="2024-02-16T00:00:00"/>
    <x v="1"/>
    <s v="Syafiq Azman"/>
    <x v="2"/>
    <s v="Electronics"/>
    <n v="2802.47"/>
    <n v="2216.17"/>
    <n v="586.29999999999995"/>
    <m/>
    <n v="5"/>
    <s v="Met"/>
    <x v="10"/>
    <n v="1"/>
    <x v="0"/>
  </r>
  <r>
    <s v="TXN-10258"/>
    <d v="2024-09-23T00:00:00"/>
    <x v="0"/>
    <s v="Hock Seng"/>
    <x v="3"/>
    <s v="Grocery"/>
    <n v="1109.67"/>
    <n v="877.62"/>
    <n v="232.05"/>
    <m/>
    <n v="5"/>
    <s v="Met"/>
    <x v="9"/>
    <n v="3"/>
    <x v="0"/>
  </r>
  <r>
    <s v="TXN-10461"/>
    <d v="2024-10-28T00:00:00"/>
    <x v="1"/>
    <s v="Vikram Singh"/>
    <x v="2"/>
    <s v="Electronics"/>
    <n v="737.73"/>
    <n v="453.63"/>
    <n v="284.10000000000002"/>
    <m/>
    <n v="4"/>
    <s v="Met"/>
    <x v="5"/>
    <n v="4"/>
    <x v="0"/>
  </r>
  <r>
    <s v="TXN-10487"/>
    <d v="2024-11-12T00:00:00"/>
    <x v="2"/>
    <s v="Muthu Kannan"/>
    <x v="3"/>
    <s v="Electronics"/>
    <n v="3675.6"/>
    <n v="3309.45"/>
    <n v="366.15"/>
    <m/>
    <n v="5"/>
    <s v="Missed"/>
    <x v="8"/>
    <n v="4"/>
    <x v="0"/>
  </r>
  <r>
    <s v="TXN-10956"/>
    <d v="2024-07-29T00:00:00"/>
    <x v="0"/>
    <s v="Wong Li Ting"/>
    <x v="0"/>
    <s v="Apparel"/>
    <n v="2399.17"/>
    <n v="1677.21"/>
    <n v="721.96"/>
    <n v="8"/>
    <n v="3"/>
    <s v="Met"/>
    <x v="3"/>
    <n v="3"/>
    <x v="1"/>
  </r>
  <r>
    <s v="TXN-10415"/>
    <d v="2024-11-13T00:00:00"/>
    <x v="3"/>
    <s v="Farah Aziz"/>
    <x v="5"/>
    <s v="Electronics"/>
    <n v="2270.61"/>
    <n v="1629.88"/>
    <n v="640.73"/>
    <m/>
    <n v="4"/>
    <s v="Met"/>
    <x v="8"/>
    <n v="4"/>
    <x v="0"/>
  </r>
  <r>
    <s v="TXN-10240"/>
    <d v="2024-02-14T00:00:00"/>
    <x v="4"/>
    <s v="Chen Mei Ling"/>
    <x v="1"/>
    <s v="Furniture"/>
    <n v="1093.08"/>
    <n v="854.43"/>
    <n v="238.65"/>
    <m/>
    <n v="4"/>
    <s v="Met"/>
    <x v="10"/>
    <n v="1"/>
    <x v="0"/>
  </r>
  <r>
    <s v="TXN-10228"/>
    <d v="2024-12-24T00:00:00"/>
    <x v="2"/>
    <s v="Priya Devi"/>
    <x v="0"/>
    <s v="Furniture"/>
    <n v="3119.56"/>
    <n v="2535.2800000000002"/>
    <n v="584.28"/>
    <m/>
    <n v="5"/>
    <s v="Missed"/>
    <x v="11"/>
    <n v="4"/>
    <x v="0"/>
  </r>
  <r>
    <s v="TXN-10525"/>
    <d v="2024-09-04T00:00:00"/>
    <x v="3"/>
    <s v="Farah Aziz"/>
    <x v="2"/>
    <s v="Electronics"/>
    <n v="5235.62"/>
    <n v="3270.12"/>
    <n v="1965.5"/>
    <n v="7"/>
    <n v="4"/>
    <s v="Missed"/>
    <x v="9"/>
    <n v="3"/>
    <x v="1"/>
  </r>
  <r>
    <s v="TXN-10368"/>
    <d v="2024-02-09T00:00:00"/>
    <x v="0"/>
    <s v="Roslan Ahmad"/>
    <x v="0"/>
    <s v="Furniture"/>
    <n v="516.37"/>
    <n v="319.63"/>
    <n v="196.74"/>
    <m/>
    <n v="4"/>
    <s v="Met"/>
    <x v="10"/>
    <n v="1"/>
    <x v="0"/>
  </r>
  <r>
    <s v="TXN-10668"/>
    <d v="2024-06-03T00:00:00"/>
    <x v="0"/>
    <s v="Hock Seng"/>
    <x v="5"/>
    <s v="Electronics"/>
    <n v="340.13"/>
    <n v="245.58"/>
    <n v="94.55"/>
    <m/>
    <n v="5"/>
    <s v="Met"/>
    <x v="4"/>
    <n v="2"/>
    <x v="0"/>
  </r>
  <r>
    <s v="TXN-10454"/>
    <d v="2024-10-11T00:00:00"/>
    <x v="1"/>
    <s v="Nurul Huda"/>
    <x v="1"/>
    <s v="Electronics"/>
    <n v="3018.39"/>
    <n v="2088.91"/>
    <n v="929.48"/>
    <n v="4"/>
    <n v="4"/>
    <s v="Missed"/>
    <x v="5"/>
    <n v="4"/>
    <x v="1"/>
  </r>
  <r>
    <s v="TXN-10482"/>
    <d v="2024-01-17T00:00:00"/>
    <x v="1"/>
    <s v="Michelle Tan"/>
    <x v="5"/>
    <s v="Groceries"/>
    <n v="3239.18"/>
    <n v="1906.01"/>
    <n v="1333.17"/>
    <m/>
    <n v="5"/>
    <s v="Met"/>
    <x v="1"/>
    <n v="1"/>
    <x v="0"/>
  </r>
  <r>
    <s v="TXN-10562"/>
    <d v="2024-07-30T00:00:00"/>
    <x v="0"/>
    <s v="Roslan Ahmad"/>
    <x v="3"/>
    <s v="Groceries"/>
    <n v="2165.84"/>
    <n v="1535.91"/>
    <n v="629.92999999999995"/>
    <m/>
    <n v="4"/>
    <s v="Met"/>
    <x v="3"/>
    <n v="3"/>
    <x v="0"/>
  </r>
  <r>
    <s v="TXN-10937"/>
    <d v="2024-06-20T00:00:00"/>
    <x v="3"/>
    <s v="Farah Aziz"/>
    <x v="6"/>
    <s v="Groceries"/>
    <n v="2758.42"/>
    <n v="1594.38"/>
    <n v="1164.04"/>
    <m/>
    <n v="1"/>
    <s v="Met"/>
    <x v="4"/>
    <n v="2"/>
    <x v="0"/>
  </r>
  <r>
    <s v="TXN-10506"/>
    <d v="2024-12-03T00:00:00"/>
    <x v="4"/>
    <s v="Chen Mei Ling"/>
    <x v="2"/>
    <s v="Automotive Parts"/>
    <n v="3120.28"/>
    <n v="2173.34"/>
    <n v="946.94"/>
    <m/>
    <n v="5"/>
    <s v="Missed"/>
    <x v="11"/>
    <n v="4"/>
    <x v="0"/>
  </r>
  <r>
    <s v="TXN-10520"/>
    <d v="2024-04-01T00:00:00"/>
    <x v="2"/>
    <s v="Zulkifli Hassan"/>
    <x v="1"/>
    <s v="Apparel"/>
    <n v="3020.21"/>
    <n v="2597.46"/>
    <n v="422.75"/>
    <m/>
    <n v="5"/>
    <s v="Met"/>
    <x v="0"/>
    <n v="2"/>
    <x v="0"/>
  </r>
  <r>
    <s v="TXN-10067"/>
    <d v="2024-07-04T00:00:00"/>
    <x v="3"/>
    <s v="Kevin Lim"/>
    <x v="3"/>
    <s v="Furniture"/>
    <n v="1869.35"/>
    <n v="1079.1099999999999"/>
    <n v="790.24"/>
    <m/>
    <n v="4"/>
    <s v="Met"/>
    <x v="3"/>
    <n v="3"/>
    <x v="0"/>
  </r>
  <r>
    <s v="TXN-10516"/>
    <d v="2024-07-14T00:00:00"/>
    <x v="3"/>
    <s v="Siti Noraini"/>
    <x v="1"/>
    <s v="Furniture"/>
    <n v="2340.63"/>
    <n v="1746.74"/>
    <n v="593.89"/>
    <m/>
    <n v="3"/>
    <s v="Missed"/>
    <x v="3"/>
    <n v="3"/>
    <x v="0"/>
  </r>
  <r>
    <s v="TXN-10605"/>
    <d v="2024-10-29T00:00:00"/>
    <x v="0"/>
    <s v="Wong Li Ting"/>
    <x v="5"/>
    <s v="Furniture"/>
    <n v="2701.37"/>
    <n v="1832.83"/>
    <n v="868.54"/>
    <m/>
    <n v="4"/>
    <s v="Missed"/>
    <x v="5"/>
    <n v="4"/>
    <x v="0"/>
  </r>
  <r>
    <s v="TXN-10808"/>
    <d v="2024-12-11T00:00:00"/>
    <x v="0"/>
    <s v="Wong Li Ting"/>
    <x v="5"/>
    <s v="Automotive Parts"/>
    <n v="445.58"/>
    <n v="310.58"/>
    <n v="135"/>
    <m/>
    <n v="5"/>
    <s v="Met"/>
    <x v="11"/>
    <n v="4"/>
    <x v="0"/>
  </r>
  <r>
    <s v="TXN-10313"/>
    <d v="2024-01-07T00:00:00"/>
    <x v="3"/>
    <s v="Aisha Rahman"/>
    <x v="2"/>
    <s v="Apparel"/>
    <n v="1686.45"/>
    <n v="1288.2"/>
    <n v="398.25"/>
    <m/>
    <n v="3"/>
    <s v="Met"/>
    <x v="1"/>
    <n v="1"/>
    <x v="0"/>
  </r>
  <r>
    <s v="TXN-10208"/>
    <d v="2024-04-03T00:00:00"/>
    <x v="4"/>
    <s v="Nabilah Yusof"/>
    <x v="1"/>
    <s v="Apparel"/>
    <n v="3322.19"/>
    <n v="2574.36"/>
    <n v="747.83"/>
    <m/>
    <n v="5"/>
    <s v="Met"/>
    <x v="0"/>
    <n v="2"/>
    <x v="0"/>
  </r>
  <r>
    <s v="TXN-10839"/>
    <d v="2024-05-10T00:00:00"/>
    <x v="0"/>
    <s v="Karthik Selvam"/>
    <x v="4"/>
    <s v="Furniture"/>
    <n v="2497.12"/>
    <n v="1911.03"/>
    <n v="586.09"/>
    <m/>
    <n v="4"/>
    <s v="Met"/>
    <x v="7"/>
    <n v="2"/>
    <x v="0"/>
  </r>
  <r>
    <s v="TXN-10739"/>
    <d v="2024-04-16T00:00:00"/>
    <x v="0"/>
    <s v="Karthik Selvam"/>
    <x v="5"/>
    <s v="Furniture"/>
    <n v="1424.4"/>
    <n v="942.53"/>
    <n v="481.87"/>
    <m/>
    <n v="4"/>
    <s v="Missed"/>
    <x v="0"/>
    <n v="2"/>
    <x v="0"/>
  </r>
  <r>
    <s v="TXN-10799"/>
    <d v="2024-11-15T00:00:00"/>
    <x v="4"/>
    <s v="Suresh Pillai"/>
    <x v="5"/>
    <s v="Electronics"/>
    <n v="1603.36"/>
    <n v="941.77"/>
    <n v="661.59"/>
    <m/>
    <n v="5"/>
    <s v="Met"/>
    <x v="8"/>
    <n v="4"/>
    <x v="0"/>
  </r>
  <r>
    <s v="TXN-10393"/>
    <d v="2024-08-14T00:00:00"/>
    <x v="0"/>
    <s v="Uknown"/>
    <x v="4"/>
    <s v="Automotive Parts"/>
    <n v="1689.85"/>
    <n v="943.3"/>
    <n v="746.55"/>
    <m/>
    <n v="4"/>
    <s v="Met"/>
    <x v="2"/>
    <n v="3"/>
    <x v="0"/>
  </r>
  <r>
    <s v="TXN-10109"/>
    <d v="2024-11-09T00:00:00"/>
    <x v="1"/>
    <s v="Syafiq Azman"/>
    <x v="0"/>
    <s v="Furniture"/>
    <n v="1217.08"/>
    <n v="788.96"/>
    <n v="428.12"/>
    <m/>
    <n v="4"/>
    <s v="Met"/>
    <x v="8"/>
    <n v="4"/>
    <x v="0"/>
  </r>
  <r>
    <s v="TXN-10123"/>
    <d v="2024-07-31T00:00:00"/>
    <x v="3"/>
    <s v="Nur Aina"/>
    <x v="3"/>
    <s v="Electronics"/>
    <n v="2134.3000000000002"/>
    <n v="1420.58"/>
    <n v="713.72"/>
    <m/>
    <n v="5"/>
    <s v="Met"/>
    <x v="3"/>
    <n v="3"/>
    <x v="0"/>
  </r>
  <r>
    <s v="TXN-10819"/>
    <d v="2024-01-14T00:00:00"/>
    <x v="4"/>
    <s v="Chen Mei Ling"/>
    <x v="1"/>
    <s v="Furniture"/>
    <n v="2256.7800000000002"/>
    <n v="1605.88"/>
    <n v="650.9"/>
    <n v="1"/>
    <n v="3"/>
    <s v="Met"/>
    <x v="1"/>
    <n v="1"/>
    <x v="1"/>
  </r>
  <r>
    <s v="TXN-10567"/>
    <d v="2024-10-19T00:00:00"/>
    <x v="1"/>
    <s v="Anand Raj"/>
    <x v="1"/>
    <s v="Apparel"/>
    <n v="1831.27"/>
    <n v="1331.95"/>
    <n v="499.32"/>
    <m/>
    <n v="3"/>
    <s v="Met"/>
    <x v="5"/>
    <n v="4"/>
    <x v="0"/>
  </r>
  <r>
    <s v="TXN-10658"/>
    <d v="2024-01-15T00:00:00"/>
    <x v="1"/>
    <s v="Vikram Singh"/>
    <x v="2"/>
    <s v="Apparel"/>
    <n v="2154.61"/>
    <n v="1206.44"/>
    <n v="948.17"/>
    <n v="4"/>
    <n v="2"/>
    <s v="Met"/>
    <x v="1"/>
    <n v="1"/>
    <x v="1"/>
  </r>
  <r>
    <s v="TXN-10948"/>
    <d v="2024-02-25T00:00:00"/>
    <x v="2"/>
    <s v="Sarah Lee"/>
    <x v="0"/>
    <s v="Automotive Parts"/>
    <n v="769.6"/>
    <n v="670.84"/>
    <n v="98.76"/>
    <n v="12"/>
    <n v="3"/>
    <s v="Met"/>
    <x v="10"/>
    <n v="1"/>
    <x v="1"/>
  </r>
  <r>
    <s v="TXN-10202"/>
    <d v="2024-03-04T00:00:00"/>
    <x v="1"/>
    <s v="Nurul Huda"/>
    <x v="3"/>
    <s v="Groceries"/>
    <n v="2431.9299999999998"/>
    <n v="1484.66"/>
    <n v="947.27"/>
    <m/>
    <n v="5"/>
    <s v="Met"/>
    <x v="6"/>
    <n v="1"/>
    <x v="0"/>
  </r>
  <r>
    <s v="TXN-10273"/>
    <d v="2024-02-13T00:00:00"/>
    <x v="3"/>
    <s v="Nur Aina"/>
    <x v="4"/>
    <s v="Groceries"/>
    <n v="2343.69"/>
    <n v="1807.85"/>
    <n v="535.84"/>
    <m/>
    <n v="4"/>
    <s v="Missed"/>
    <x v="10"/>
    <n v="1"/>
    <x v="0"/>
  </r>
  <r>
    <s v="TXN-10756"/>
    <d v="2024-11-08T00:00:00"/>
    <x v="4"/>
    <s v="Brandon Ong"/>
    <x v="5"/>
    <s v="Groceries"/>
    <n v="1672.13"/>
    <n v="949.1"/>
    <n v="723.03"/>
    <m/>
    <n v="2"/>
    <s v="Met"/>
    <x v="8"/>
    <n v="4"/>
    <x v="0"/>
  </r>
  <r>
    <s v="TXN-10127"/>
    <d v="2024-05-28T00:00:00"/>
    <x v="3"/>
    <s v="Raj Kumar"/>
    <x v="0"/>
    <s v="Groceries"/>
    <n v="934.44"/>
    <n v="728.02"/>
    <n v="206.42"/>
    <m/>
    <n v="5"/>
    <s v="Met"/>
    <x v="7"/>
    <n v="2"/>
    <x v="0"/>
  </r>
  <r>
    <s v="TXN-10941"/>
    <d v="2024-07-21T00:00:00"/>
    <x v="4"/>
    <s v="Lim Pei Yi"/>
    <x v="0"/>
    <s v="Groceries"/>
    <n v="1586.04"/>
    <n v="1255.46"/>
    <n v="330.58"/>
    <m/>
    <n v="5"/>
    <s v="Met"/>
    <x v="3"/>
    <n v="3"/>
    <x v="0"/>
  </r>
  <r>
    <s v="TXN-10140"/>
    <d v="2024-02-08T00:00:00"/>
    <x v="3"/>
    <s v="Siti Noraini"/>
    <x v="3"/>
    <s v="Electronics"/>
    <n v="1290.99"/>
    <n v="958.24"/>
    <n v="332.75"/>
    <m/>
    <n v="5"/>
    <s v="Met"/>
    <x v="10"/>
    <n v="1"/>
    <x v="0"/>
  </r>
  <r>
    <s v="TXN-10798"/>
    <d v="2024-01-11T00:00:00"/>
    <x v="0"/>
    <s v="Wong Li Ting"/>
    <x v="3"/>
    <s v="Groceries"/>
    <n v="2113.69"/>
    <n v="1684.49"/>
    <n v="429.2"/>
    <m/>
    <n v="3"/>
    <s v="Met"/>
    <x v="1"/>
    <n v="1"/>
    <x v="0"/>
  </r>
  <r>
    <s v="TXN-10551"/>
    <d v="2024-09-25T00:00:00"/>
    <x v="1"/>
    <s v="Syafiq Azman"/>
    <x v="3"/>
    <s v="Groceries"/>
    <n v="1017.1"/>
    <n v="776.17"/>
    <n v="240.93"/>
    <m/>
    <n v="3"/>
    <s v="Missed"/>
    <x v="9"/>
    <n v="3"/>
    <x v="0"/>
  </r>
  <r>
    <s v="TXN-10337"/>
    <d v="2024-09-24T00:00:00"/>
    <x v="4"/>
    <s v="Faisal Rashid"/>
    <x v="3"/>
    <s v="Groceries"/>
    <n v="3131.22"/>
    <n v="1791.41"/>
    <n v="1339.81"/>
    <m/>
    <n v="5"/>
    <s v="Met"/>
    <x v="9"/>
    <n v="3"/>
    <x v="0"/>
  </r>
  <r>
    <s v="TXN-10243"/>
    <d v="2024-10-24T00:00:00"/>
    <x v="3"/>
    <s v="Kevin Lim"/>
    <x v="4"/>
    <s v="Electronics"/>
    <n v="2433.9699999999998"/>
    <n v="1416.7"/>
    <n v="1017.27"/>
    <n v="4"/>
    <n v="2"/>
    <s v="Met"/>
    <x v="5"/>
    <n v="4"/>
    <x v="1"/>
  </r>
  <r>
    <s v="TXN-10724"/>
    <d v="2024-10-28T00:00:00"/>
    <x v="0"/>
    <s v="Karthik Selvam"/>
    <x v="0"/>
    <s v="Electronics"/>
    <n v="1236.19"/>
    <n v="855.85"/>
    <n v="380.34"/>
    <m/>
    <n v="5"/>
    <s v="Met"/>
    <x v="5"/>
    <n v="4"/>
    <x v="0"/>
  </r>
  <r>
    <s v="TXN-10115"/>
    <d v="2024-02-25T00:00:00"/>
    <x v="1"/>
    <s v="Vikram Singh"/>
    <x v="1"/>
    <s v="Electronic"/>
    <n v="2212.52"/>
    <n v="1541.48"/>
    <n v="671.04"/>
    <n v="4"/>
    <n v="3"/>
    <s v="Missed"/>
    <x v="10"/>
    <n v="1"/>
    <x v="1"/>
  </r>
  <r>
    <s v="TXN-10360"/>
    <d v="2024-07-02T00:00:00"/>
    <x v="0"/>
    <s v="Hock Seng"/>
    <x v="1"/>
    <s v="Electronics"/>
    <n v="4514.55"/>
    <n v="2626.58"/>
    <n v="1887.97"/>
    <m/>
    <n v="4"/>
    <s v="Met"/>
    <x v="3"/>
    <n v="3"/>
    <x v="0"/>
  </r>
  <r>
    <s v="TXN-10328"/>
    <d v="2024-02-03T00:00:00"/>
    <x v="4"/>
    <s v="Faisal Rashid"/>
    <x v="3"/>
    <s v="Groceries"/>
    <n v="1742.37"/>
    <n v="1111.3900000000001"/>
    <n v="630.98"/>
    <m/>
    <n v="4"/>
    <s v="Met"/>
    <x v="10"/>
    <n v="1"/>
    <x v="0"/>
  </r>
  <r>
    <s v="TXN-10277"/>
    <d v="2024-09-21T00:00:00"/>
    <x v="3"/>
    <s v="Nur Aina"/>
    <x v="3"/>
    <s v="Groceries"/>
    <n v="2711.2"/>
    <n v="2107.9299999999998"/>
    <n v="603.27"/>
    <m/>
    <n v="5"/>
    <s v="Met"/>
    <x v="9"/>
    <n v="3"/>
    <x v="0"/>
  </r>
  <r>
    <s v="TXN-10466"/>
    <d v="2024-01-29T00:00:00"/>
    <x v="0"/>
    <s v="Uknown"/>
    <x v="5"/>
    <s v="Electronics"/>
    <n v="2023.51"/>
    <n v="1262.1199999999999"/>
    <n v="761.39"/>
    <m/>
    <n v="4"/>
    <s v="Met"/>
    <x v="1"/>
    <n v="1"/>
    <x v="0"/>
  </r>
  <r>
    <s v="TXN-10805"/>
    <d v="2024-04-08T00:00:00"/>
    <x v="0"/>
    <s v="Noraini Yaakob"/>
    <x v="4"/>
    <s v="Groceries"/>
    <n v="1744.75"/>
    <n v="1045.67"/>
    <n v="699.08"/>
    <m/>
    <n v="4"/>
    <s v="Met"/>
    <x v="0"/>
    <n v="2"/>
    <x v="0"/>
  </r>
  <r>
    <s v="TXN-10876"/>
    <d v="2024-10-07T00:00:00"/>
    <x v="0"/>
    <s v="Wong Li Ting"/>
    <x v="4"/>
    <s v="Groceries"/>
    <n v="3128.72"/>
    <n v="2357.79"/>
    <n v="770.93"/>
    <m/>
    <n v="3"/>
    <s v="Met"/>
    <x v="5"/>
    <n v="4"/>
    <x v="0"/>
  </r>
  <r>
    <s v="TXN-10285"/>
    <d v="2024-08-20T00:00:00"/>
    <x v="4"/>
    <s v="Chen Mei Ling"/>
    <x v="4"/>
    <s v="Groceries"/>
    <n v="152.41"/>
    <n v="108.14"/>
    <n v="44.27"/>
    <m/>
    <n v="5"/>
    <s v="Met"/>
    <x v="2"/>
    <n v="3"/>
    <x v="0"/>
  </r>
  <r>
    <s v="TXN-10550"/>
    <d v="2024-09-10T00:00:00"/>
    <x v="2"/>
    <s v="Jasmine Wong"/>
    <x v="1"/>
    <s v="Apparel"/>
    <n v="2443.73"/>
    <n v="2178.48"/>
    <n v="265.25"/>
    <n v="13"/>
    <n v="4"/>
    <s v="Missed"/>
    <x v="9"/>
    <n v="3"/>
    <x v="1"/>
  </r>
  <r>
    <s v="TXN-10518"/>
    <d v="2024-01-05T00:00:00"/>
    <x v="1"/>
    <s v="Lee Jia Hui"/>
    <x v="0"/>
    <s v="Electronics"/>
    <n v="1953.28"/>
    <n v="1299.23"/>
    <n v="654.04999999999995"/>
    <m/>
    <n v="3"/>
    <s v="Met"/>
    <x v="1"/>
    <n v="1"/>
    <x v="0"/>
  </r>
  <r>
    <s v="TXN-10772"/>
    <d v="2024-09-10T00:00:00"/>
    <x v="2"/>
    <s v="Chong Kah Wei"/>
    <x v="0"/>
    <s v="Electronics"/>
    <n v="3539.68"/>
    <n v="2551.1"/>
    <n v="988.58"/>
    <m/>
    <n v="4"/>
    <s v="Missed"/>
    <x v="9"/>
    <n v="3"/>
    <x v="0"/>
  </r>
  <r>
    <s v="TXN-10178"/>
    <d v="2024-08-25T00:00:00"/>
    <x v="4"/>
    <s v="Goh Wen Xin"/>
    <x v="0"/>
    <s v="Furniture"/>
    <n v="1037.78"/>
    <n v="601.89"/>
    <n v="435.89"/>
    <m/>
    <n v="5"/>
    <s v="Met"/>
    <x v="2"/>
    <n v="3"/>
    <x v="0"/>
  </r>
  <r>
    <s v="TXN-10584"/>
    <d v="2024-10-31T00:00:00"/>
    <x v="0"/>
    <s v="Karthik Selvam"/>
    <x v="4"/>
    <s v="Electronics"/>
    <n v="974.64"/>
    <n v="605.5"/>
    <n v="369.14"/>
    <m/>
    <n v="5"/>
    <s v="Met"/>
    <x v="5"/>
    <n v="4"/>
    <x v="0"/>
  </r>
  <r>
    <s v="TXN-10004"/>
    <d v="2024-04-17T00:00:00"/>
    <x v="4"/>
    <s v="Nabilah Yusof"/>
    <x v="0"/>
    <s v="Furniture"/>
    <n v="2395.09"/>
    <n v="1737.53"/>
    <n v="657.56"/>
    <m/>
    <n v="5"/>
    <s v="Missed"/>
    <x v="0"/>
    <n v="2"/>
    <x v="0"/>
  </r>
  <r>
    <s v="TXN-10709"/>
    <d v="2024-03-04T00:00:00"/>
    <x v="0"/>
    <s v="Maya Devi"/>
    <x v="2"/>
    <s v="Automotive Parts"/>
    <n v="474.88"/>
    <n v="287.10000000000002"/>
    <n v="187.78"/>
    <m/>
    <n v="3"/>
    <s v="Met"/>
    <x v="6"/>
    <n v="1"/>
    <x v="0"/>
  </r>
  <r>
    <s v="TXN-10913"/>
    <d v="2024-05-03T00:00:00"/>
    <x v="4"/>
    <s v="Chen Mei Ling"/>
    <x v="4"/>
    <s v="Groceries"/>
    <n v="1933.83"/>
    <n v="1302.02"/>
    <n v="631.80999999999995"/>
    <m/>
    <n v="3"/>
    <s v="Met"/>
    <x v="7"/>
    <n v="2"/>
    <x v="1"/>
  </r>
  <r>
    <s v="TXN-10622"/>
    <d v="2024-01-04T00:00:00"/>
    <x v="2"/>
    <s v="Sarah Lee"/>
    <x v="4"/>
    <s v="Groceries"/>
    <n v="2848.82"/>
    <n v="2385.0500000000002"/>
    <n v="463.77"/>
    <n v="8"/>
    <n v="1"/>
    <s v="Missed"/>
    <x v="1"/>
    <n v="1"/>
    <x v="0"/>
  </r>
  <r>
    <s v="TXN-10984"/>
    <d v="2024-02-24T00:00:00"/>
    <x v="2"/>
    <s v="Jasmine Wong"/>
    <x v="1"/>
    <s v="Groceries"/>
    <n v="2619.1"/>
    <n v="1943.09"/>
    <n v="676.01"/>
    <n v="5"/>
    <n v="3"/>
    <s v="Missed"/>
    <x v="10"/>
    <n v="1"/>
    <x v="1"/>
  </r>
  <r>
    <s v="TXN-10775"/>
    <d v="2024-08-13T00:00:00"/>
    <x v="1"/>
    <s v="Lee Jia Hui"/>
    <x v="4"/>
    <s v="Groceries"/>
    <n v="2516.33"/>
    <n v="1937.37"/>
    <n v="578.96"/>
    <m/>
    <n v="4"/>
    <s v="Met"/>
    <x v="2"/>
    <n v="3"/>
    <x v="0"/>
  </r>
  <r>
    <s v="TXN-10712"/>
    <d v="2024-01-12T00:00:00"/>
    <x v="1"/>
    <s v="Nurul Huda"/>
    <x v="2"/>
    <s v="Apparel"/>
    <n v="1238.82"/>
    <n v="758.76"/>
    <n v="480.06"/>
    <m/>
    <m/>
    <s v="Met"/>
    <x v="1"/>
    <n v="1"/>
    <x v="0"/>
  </r>
  <r>
    <s v="TXN-10267"/>
    <d v="2024-07-09T00:00:00"/>
    <x v="2"/>
    <s v="Amir Hakim"/>
    <x v="3"/>
    <s v="Apparel"/>
    <n v="1373.01"/>
    <n v="1082.1099999999999"/>
    <n v="290.89999999999998"/>
    <n v="6"/>
    <n v="3"/>
    <s v="Met"/>
    <x v="3"/>
    <n v="3"/>
    <x v="1"/>
  </r>
  <r>
    <s v="TXN-10934"/>
    <d v="2024-04-20T00:00:00"/>
    <x v="3"/>
    <s v="Raj Kumar"/>
    <x v="4"/>
    <s v="Electronics"/>
    <n v="849.94"/>
    <n v="630.03"/>
    <n v="219.91"/>
    <m/>
    <n v="4"/>
    <s v="Met"/>
    <x v="0"/>
    <n v="2"/>
    <x v="0"/>
  </r>
  <r>
    <s v="TXN-10508"/>
    <d v="2024-04-18T00:00:00"/>
    <x v="1"/>
    <s v="Lee Jia Hui"/>
    <x v="5"/>
    <s v="Furniture"/>
    <n v="771.89"/>
    <n v="435.92"/>
    <n v="335.97"/>
    <m/>
    <n v="5"/>
    <s v="Met"/>
    <x v="0"/>
    <n v="2"/>
    <x v="0"/>
  </r>
  <r>
    <s v="TXN-10429"/>
    <d v="2024-03-16T00:00:00"/>
    <x v="3"/>
    <s v="Farah Aziz"/>
    <x v="4"/>
    <s v="Apparel"/>
    <n v="1737.86"/>
    <n v="965.3"/>
    <n v="772.56"/>
    <m/>
    <n v="4"/>
    <s v="Met"/>
    <x v="6"/>
    <n v="1"/>
    <x v="0"/>
  </r>
  <r>
    <s v="TXN-10046"/>
    <d v="2024-08-27T00:00:00"/>
    <x v="1"/>
    <s v="Syafiq Azman"/>
    <x v="4"/>
    <s v="Furniture"/>
    <n v="2457.0700000000002"/>
    <n v="1781.21"/>
    <n v="675.86"/>
    <m/>
    <n v="3"/>
    <s v="Missed"/>
    <x v="2"/>
    <n v="3"/>
    <x v="0"/>
  </r>
  <r>
    <s v="TXN-10589"/>
    <d v="2024-06-14T00:00:00"/>
    <x v="4"/>
    <s v="Goh Wen Xin"/>
    <x v="2"/>
    <s v="Electronics"/>
    <n v="1067.93"/>
    <n v="704.15"/>
    <n v="363.78"/>
    <n v="6"/>
    <n v="1"/>
    <s v="Met"/>
    <x v="4"/>
    <n v="2"/>
    <x v="1"/>
  </r>
  <r>
    <s v="TXN-10422"/>
    <d v="2024-03-24T00:00:00"/>
    <x v="3"/>
    <s v="Farah Aziz"/>
    <x v="5"/>
    <s v="Automotive Parts"/>
    <n v="1451.48"/>
    <n v="944.33"/>
    <n v="507.15"/>
    <n v="7"/>
    <n v="3"/>
    <s v="Met"/>
    <x v="6"/>
    <n v="1"/>
    <x v="1"/>
  </r>
  <r>
    <s v="TXN-10995"/>
    <d v="2024-06-27T00:00:00"/>
    <x v="2"/>
    <s v="Sarah Lee"/>
    <x v="1"/>
    <s v="Automotive Parts"/>
    <n v="2374.4299999999998"/>
    <n v="1710.41"/>
    <n v="664.02"/>
    <m/>
    <n v="5"/>
    <s v="Missed"/>
    <x v="4"/>
    <n v="2"/>
    <x v="0"/>
  </r>
  <r>
    <s v="TXN-10023"/>
    <d v="2024-05-13T00:00:00"/>
    <x v="4"/>
    <s v="Aina Sofea"/>
    <x v="5"/>
    <s v="Electronics"/>
    <n v="748.2"/>
    <n v="591.54999999999995"/>
    <n v="156.65"/>
    <n v="6"/>
    <n v="3"/>
    <s v="Met"/>
    <x v="7"/>
    <n v="2"/>
    <x v="1"/>
  </r>
  <r>
    <s v="TXN-10217"/>
    <d v="2024-05-31T00:00:00"/>
    <x v="2"/>
    <s v="Muthu Kannan"/>
    <x v="3"/>
    <s v="Automotive Parts"/>
    <n v="1034.82"/>
    <n v="735.78"/>
    <n v="299.04000000000002"/>
    <m/>
    <n v="4"/>
    <s v="Met"/>
    <x v="7"/>
    <n v="2"/>
    <x v="0"/>
  </r>
  <r>
    <s v="TXN-10325"/>
    <d v="2024-11-14T00:00:00"/>
    <x v="4"/>
    <s v="Brandon Ong"/>
    <x v="5"/>
    <s v="Electronics"/>
    <n v="2603.48"/>
    <n v="1785.03"/>
    <n v="818.45"/>
    <m/>
    <n v="5"/>
    <s v="Met"/>
    <x v="8"/>
    <n v="4"/>
    <x v="0"/>
  </r>
  <r>
    <s v="TXN-10607"/>
    <d v="2024-03-01T00:00:00"/>
    <x v="1"/>
    <s v="Anand Raj"/>
    <x v="3"/>
    <s v="Furniture"/>
    <n v="3255.21"/>
    <n v="1858.78"/>
    <n v="1396.43"/>
    <m/>
    <n v="4"/>
    <s v="Met"/>
    <x v="6"/>
    <n v="1"/>
    <x v="0"/>
  </r>
  <r>
    <s v="TXN-10236"/>
    <d v="2024-11-24T00:00:00"/>
    <x v="4"/>
    <s v="Brandon Ong"/>
    <x v="3"/>
    <s v="Electronics"/>
    <n v="3236.93"/>
    <n v="2556.2800000000002"/>
    <n v="680.65"/>
    <m/>
    <n v="3"/>
    <s v="Met"/>
    <x v="8"/>
    <n v="4"/>
    <x v="0"/>
  </r>
  <r>
    <s v="TXN-10593"/>
    <d v="2024-09-24T00:00:00"/>
    <x v="1"/>
    <s v="Eddy Chong"/>
    <x v="2"/>
    <s v="Electronics"/>
    <n v="4147.79"/>
    <n v="2481.25"/>
    <n v="1666.54"/>
    <m/>
    <n v="5"/>
    <s v="Missed"/>
    <x v="9"/>
    <n v="3"/>
    <x v="0"/>
  </r>
  <r>
    <s v="TXN-10774"/>
    <d v="2024-09-27T00:00:00"/>
    <x v="3"/>
    <s v="Raj Kumar"/>
    <x v="0"/>
    <s v="Electronics"/>
    <n v="262.14999999999998"/>
    <n v="164.25"/>
    <n v="97.9"/>
    <m/>
    <n v="3"/>
    <s v="Met"/>
    <x v="9"/>
    <n v="3"/>
    <x v="0"/>
  </r>
  <r>
    <s v="TXN-10883"/>
    <d v="2024-12-18T00:00:00"/>
    <x v="3"/>
    <s v="Raj Kumar"/>
    <x v="3"/>
    <s v="Groceries"/>
    <n v="1100.3900000000001"/>
    <n v="713.44"/>
    <n v="386.95"/>
    <m/>
    <n v="5"/>
    <s v="Met"/>
    <x v="11"/>
    <n v="4"/>
    <x v="0"/>
  </r>
  <r>
    <s v="TXN-10465"/>
    <d v="2024-02-18T00:00:00"/>
    <x v="1"/>
    <s v="Farhana Ismail"/>
    <x v="2"/>
    <s v="Furnture"/>
    <n v="2244.92"/>
    <n v="1559.62"/>
    <n v="685.3"/>
    <m/>
    <n v="4"/>
    <s v="Met"/>
    <x v="10"/>
    <n v="1"/>
    <x v="0"/>
  </r>
  <r>
    <s v="TXN-10278"/>
    <d v="2024-04-06T00:00:00"/>
    <x v="4"/>
    <s v="Lim Pei Yi"/>
    <x v="1"/>
    <s v="Groceries"/>
    <n v="1224.1600000000001"/>
    <n v="719.85"/>
    <n v="504.31"/>
    <m/>
    <n v="4"/>
    <s v="Met"/>
    <x v="0"/>
    <n v="2"/>
    <x v="0"/>
  </r>
  <r>
    <s v="TXN-10693"/>
    <d v="2024-09-16T00:00:00"/>
    <x v="3"/>
    <s v="Nur Aina"/>
    <x v="0"/>
    <s v="Apparel"/>
    <n v="511.32"/>
    <n v="335.67"/>
    <n v="175.65"/>
    <m/>
    <n v="2"/>
    <s v="Met"/>
    <x v="9"/>
    <n v="3"/>
    <x v="0"/>
  </r>
  <r>
    <s v="TXN-10266"/>
    <d v="2024-01-05T00:00:00"/>
    <x v="1"/>
    <s v="Farhana Ismail"/>
    <x v="3"/>
    <s v="Furniture"/>
    <n v="189.6"/>
    <n v="114.27"/>
    <n v="75.33"/>
    <m/>
    <n v="4"/>
    <s v="Met"/>
    <x v="1"/>
    <n v="1"/>
    <x v="0"/>
  </r>
  <r>
    <s v="TXN-10903"/>
    <d v="2024-08-28T00:00:00"/>
    <x v="3"/>
    <s v="Farah Aziz"/>
    <x v="1"/>
    <s v="Apparel"/>
    <n v="881.7"/>
    <n v="641.03"/>
    <n v="240.67"/>
    <m/>
    <n v="5"/>
    <s v="Met"/>
    <x v="2"/>
    <n v="3"/>
    <x v="0"/>
  </r>
  <r>
    <s v="TXN-10270"/>
    <d v="2024-09-18T00:00:00"/>
    <x v="4"/>
    <s v="Nabilah Yusof"/>
    <x v="6"/>
    <s v="Furniture"/>
    <n v="1783.1"/>
    <n v="1309.03"/>
    <n v="474.07"/>
    <m/>
    <n v="5"/>
    <s v="Missed"/>
    <x v="9"/>
    <n v="3"/>
    <x v="0"/>
  </r>
  <r>
    <s v="TXN-10105"/>
    <d v="2024-08-02T00:00:00"/>
    <x v="4"/>
    <s v="Goh Wen Xin"/>
    <x v="3"/>
    <s v="Automotive Parts"/>
    <n v="981.71"/>
    <n v="752.31"/>
    <n v="229.4"/>
    <m/>
    <n v="5"/>
    <s v="Met"/>
    <x v="2"/>
    <n v="3"/>
    <x v="0"/>
  </r>
  <r>
    <s v="TXN-10927"/>
    <d v="2024-07-30T00:00:00"/>
    <x v="0"/>
    <s v="Wong Li Ting"/>
    <x v="2"/>
    <s v="Electronics"/>
    <n v="873.88"/>
    <n v="530.41"/>
    <n v="343.47"/>
    <m/>
    <n v="5"/>
    <s v="Met"/>
    <x v="3"/>
    <n v="3"/>
    <x v="0"/>
  </r>
  <r>
    <s v="TXN-10873"/>
    <d v="2024-09-06T00:00:00"/>
    <x v="1"/>
    <s v="Farhana Ismail"/>
    <x v="5"/>
    <s v="Automotive Parts"/>
    <n v="1601.92"/>
    <n v="1086.8900000000001"/>
    <n v="515.03"/>
    <m/>
    <n v="5"/>
    <s v="Met"/>
    <x v="9"/>
    <n v="3"/>
    <x v="0"/>
  </r>
  <r>
    <s v="TXN-10433"/>
    <d v="2024-03-23T00:00:00"/>
    <x v="4"/>
    <s v="Nabilah Yusof"/>
    <x v="3"/>
    <s v="Apparel"/>
    <n v="2233.17"/>
    <n v="1385.94"/>
    <n v="847.23"/>
    <m/>
    <n v="3"/>
    <s v="Met"/>
    <x v="6"/>
    <n v="1"/>
    <x v="0"/>
  </r>
  <r>
    <s v="TXN-10214"/>
    <d v="2024-01-25T00:00:00"/>
    <x v="3"/>
    <s v="Siti Noraini"/>
    <x v="1"/>
    <s v="Apparel"/>
    <n v="2460.66"/>
    <n v="1609.75"/>
    <n v="850.91"/>
    <n v="3"/>
    <n v="2"/>
    <s v="Met"/>
    <x v="1"/>
    <n v="1"/>
    <x v="1"/>
  </r>
  <r>
    <s v="TXN-10430"/>
    <d v="2024-02-22T00:00:00"/>
    <x v="0"/>
    <s v="Karthik Selvam"/>
    <x v="5"/>
    <s v="Furniture"/>
    <n v="2261.87"/>
    <n v="1647.26"/>
    <n v="614.61"/>
    <m/>
    <n v="4"/>
    <s v="Met"/>
    <x v="10"/>
    <n v="1"/>
    <x v="0"/>
  </r>
  <r>
    <s v="TXN-10499"/>
    <d v="2024-02-05T00:00:00"/>
    <x v="3"/>
    <s v="Farah Aziz"/>
    <x v="5"/>
    <s v="Automotive Parts"/>
    <n v="3344.76"/>
    <n v="1883.19"/>
    <n v="1461.57"/>
    <m/>
    <n v="3"/>
    <s v="Met"/>
    <x v="10"/>
    <n v="1"/>
    <x v="0"/>
  </r>
  <r>
    <s v="TXN-10147"/>
    <d v="2024-07-12T00:00:00"/>
    <x v="2"/>
    <s v="Amir Hakim"/>
    <x v="1"/>
    <s v="Furniture"/>
    <n v="397.78"/>
    <n v="365.14"/>
    <n v="32.64"/>
    <m/>
    <n v="5"/>
    <s v="Met"/>
    <x v="3"/>
    <n v="3"/>
    <x v="0"/>
  </r>
  <r>
    <s v="TXN-10271"/>
    <d v="2024-04-26T00:00:00"/>
    <x v="3"/>
    <s v="Nur Aina"/>
    <x v="5"/>
    <s v="Electronics"/>
    <n v="1200.1600000000001"/>
    <n v="856.02"/>
    <n v="344.14"/>
    <m/>
    <n v="5"/>
    <s v="Met"/>
    <x v="0"/>
    <n v="2"/>
    <x v="0"/>
  </r>
  <r>
    <s v="TXN-10009"/>
    <d v="2024-02-05T00:00:00"/>
    <x v="3"/>
    <s v="Farah Aziz"/>
    <x v="5"/>
    <s v="Apparel"/>
    <n v="3426.25"/>
    <n v="2340.73"/>
    <n v="1085.52"/>
    <n v="3"/>
    <n v="2"/>
    <s v="Met"/>
    <x v="10"/>
    <n v="1"/>
    <x v="1"/>
  </r>
  <r>
    <s v="TXN-10220"/>
    <d v="2024-02-27T00:00:00"/>
    <x v="2"/>
    <s v="Jasmine Wong"/>
    <x v="3"/>
    <s v="Automotive Parts"/>
    <n v="3123.44"/>
    <n v="2489.23"/>
    <n v="634.21"/>
    <n v="8"/>
    <n v="3"/>
    <s v="Met"/>
    <x v="10"/>
    <n v="1"/>
    <x v="1"/>
  </r>
  <r>
    <s v="TXN-10503"/>
    <d v="2024-09-07T00:00:00"/>
    <x v="0"/>
    <s v="Maya Devi"/>
    <x v="1"/>
    <s v="Furniture"/>
    <n v="1181.17"/>
    <n v="941.25"/>
    <n v="239.92"/>
    <m/>
    <n v="4"/>
    <s v="Met"/>
    <x v="9"/>
    <n v="3"/>
    <x v="1"/>
  </r>
  <r>
    <s v="TXN-10952"/>
    <d v="2024-06-09T00:00:00"/>
    <x v="2"/>
    <s v="Jasmine Wong"/>
    <x v="0"/>
    <s v="Apparel"/>
    <n v="2064.5500000000002"/>
    <n v="1890.52"/>
    <n v="174.03"/>
    <n v="10"/>
    <n v="3"/>
    <s v="Missed"/>
    <x v="4"/>
    <n v="2"/>
    <x v="1"/>
  </r>
  <r>
    <s v="TXN-10002"/>
    <d v="2024-01-04T00:00:00"/>
    <x v="1"/>
    <s v="Anand Raj"/>
    <x v="4"/>
    <s v="Apparel"/>
    <n v="2692"/>
    <n v="1588.05"/>
    <n v="1103.95"/>
    <m/>
    <n v="5"/>
    <s v="Met"/>
    <x v="1"/>
    <n v="1"/>
    <x v="0"/>
  </r>
  <r>
    <s v="TXN-10560"/>
    <d v="2024-12-17T00:00:00"/>
    <x v="0"/>
    <s v="Wong Li Ting"/>
    <x v="0"/>
    <s v="Automotive Parts"/>
    <n v="1160.24"/>
    <n v="875.27"/>
    <n v="284.97000000000003"/>
    <m/>
    <n v="4"/>
    <s v="Met"/>
    <x v="11"/>
    <n v="4"/>
    <x v="0"/>
  </r>
  <r>
    <s v="TXN-10574"/>
    <d v="2024-10-22T00:00:00"/>
    <x v="4"/>
    <s v="Faisal Rashid"/>
    <x v="0"/>
    <s v="Electronics"/>
    <n v="1751.63"/>
    <n v="1041.8599999999999"/>
    <n v="709.77"/>
    <m/>
    <n v="4"/>
    <s v="Met"/>
    <x v="5"/>
    <n v="4"/>
    <x v="0"/>
  </r>
  <r>
    <s v="TXN-10686"/>
    <d v="2024-09-13T00:00:00"/>
    <x v="3"/>
    <s v="Aisha Rahman"/>
    <x v="5"/>
    <s v="Electronics"/>
    <n v="865.33"/>
    <n v="513.27"/>
    <n v="352.06"/>
    <m/>
    <n v="4"/>
    <s v="Missed"/>
    <x v="9"/>
    <n v="3"/>
    <x v="0"/>
  </r>
  <r>
    <s v="TXN-10194"/>
    <d v="2024-06-06T00:00:00"/>
    <x v="3"/>
    <s v="Uknown"/>
    <x v="3"/>
    <s v="Apparel"/>
    <n v="2779.34"/>
    <n v="1855.87"/>
    <n v="923.47"/>
    <n v="3"/>
    <n v="2"/>
    <s v="Met"/>
    <x v="4"/>
    <n v="2"/>
    <x v="1"/>
  </r>
  <r>
    <s v="TXN-10039"/>
    <d v="2024-10-11T00:00:00"/>
    <x v="2"/>
    <s v="Amir Hakim"/>
    <x v="1"/>
    <s v="Furniture"/>
    <n v="2689.85"/>
    <n v="2291.5700000000002"/>
    <n v="398.28"/>
    <m/>
    <n v="4"/>
    <s v="Met"/>
    <x v="5"/>
    <n v="4"/>
    <x v="0"/>
  </r>
  <r>
    <s v="TXN-10128"/>
    <d v="2024-03-30T00:00:00"/>
    <x v="1"/>
    <s v="Nurul Huda"/>
    <x v="2"/>
    <s v="Automotive Parts"/>
    <n v="2247.08"/>
    <n v="1475.88"/>
    <n v="771.2"/>
    <n v="10"/>
    <n v="3"/>
    <s v="Met"/>
    <x v="6"/>
    <n v="1"/>
    <x v="1"/>
  </r>
  <r>
    <s v="TXN-10383"/>
    <d v="2024-06-24T00:00:00"/>
    <x v="1"/>
    <s v="Farhana Ismail"/>
    <x v="2"/>
    <s v="Apparel"/>
    <n v="726.89"/>
    <n v="455.16"/>
    <n v="271.73"/>
    <n v="5"/>
    <n v="2"/>
    <s v="Missed"/>
    <x v="4"/>
    <n v="2"/>
    <x v="1"/>
  </r>
  <r>
    <s v="TXN-10875"/>
    <d v="2024-05-15T00:00:00"/>
    <x v="3"/>
    <s v="Kevin Lim"/>
    <x v="0"/>
    <s v="Automotive Parts"/>
    <n v="2586.25"/>
    <n v="1931.29"/>
    <n v="654.96"/>
    <m/>
    <n v="5"/>
    <s v="Met"/>
    <x v="7"/>
    <n v="2"/>
    <x v="0"/>
  </r>
  <r>
    <s v="TXN-10272"/>
    <d v="2024-12-04T00:00:00"/>
    <x v="3"/>
    <s v="Daniel Tan"/>
    <x v="0"/>
    <s v="Apparel"/>
    <n v="993.02"/>
    <n v="730.83"/>
    <n v="262.19"/>
    <m/>
    <n v="3"/>
    <s v="Met"/>
    <x v="11"/>
    <n v="4"/>
    <x v="0"/>
  </r>
  <r>
    <s v="TXN-10951"/>
    <d v="2024-07-02T00:00:00"/>
    <x v="1"/>
    <s v="Syafiq Azman"/>
    <x v="0"/>
    <s v="Furniture"/>
    <n v="1974.08"/>
    <n v="1158.0999999999999"/>
    <n v="815.98"/>
    <n v="7"/>
    <n v="2"/>
    <s v="Met"/>
    <x v="3"/>
    <n v="3"/>
    <x v="1"/>
  </r>
  <r>
    <s v="TXN-10651"/>
    <d v="2024-07-28T00:00:00"/>
    <x v="3"/>
    <s v="Raj Kumar"/>
    <x v="1"/>
    <s v="Electronics"/>
    <n v="1870.71"/>
    <n v="1265.3699999999999"/>
    <n v="605.34"/>
    <m/>
    <n v="4"/>
    <s v="Met"/>
    <x v="3"/>
    <n v="3"/>
    <x v="0"/>
  </r>
  <r>
    <s v="TXN-10549"/>
    <d v="2024-03-01T00:00:00"/>
    <x v="4"/>
    <s v="Chen Mei Ling"/>
    <x v="4"/>
    <s v="Furniture"/>
    <n v="3201.34"/>
    <n v="1814.93"/>
    <n v="1386.41"/>
    <m/>
    <n v="5"/>
    <s v="Missed"/>
    <x v="6"/>
    <n v="1"/>
    <x v="0"/>
  </r>
  <r>
    <s v="TXN-10896"/>
    <d v="2024-04-07T00:00:00"/>
    <x v="1"/>
    <s v="Farhana Ismail"/>
    <x v="3"/>
    <s v="Electronics"/>
    <n v="2230.6"/>
    <n v="1496.41"/>
    <n v="734.19"/>
    <m/>
    <n v="5"/>
    <s v="Met"/>
    <x v="0"/>
    <n v="2"/>
    <x v="0"/>
  </r>
  <r>
    <s v="TXN-10210"/>
    <d v="2024-04-02T00:00:00"/>
    <x v="0"/>
    <s v="Roslan Ahmad"/>
    <x v="0"/>
    <s v="Furniture"/>
    <n v="2759.45"/>
    <n v="1854.06"/>
    <n v="905.39"/>
    <m/>
    <n v="4"/>
    <s v="Met"/>
    <x v="0"/>
    <n v="2"/>
    <x v="0"/>
  </r>
  <r>
    <s v="TXN-10650"/>
    <d v="2024-09-27T00:00:00"/>
    <x v="0"/>
    <s v="Noraini Yaakob"/>
    <x v="2"/>
    <s v="Apparel"/>
    <n v="2823.99"/>
    <n v="1981.81"/>
    <n v="842.18"/>
    <m/>
    <n v="4"/>
    <s v="Met"/>
    <x v="9"/>
    <n v="3"/>
    <x v="0"/>
  </r>
  <r>
    <s v="TXN-10332"/>
    <d v="2024-06-11T00:00:00"/>
    <x v="2"/>
    <s v="Zulkifli Hassan"/>
    <x v="0"/>
    <s v="Apparel"/>
    <n v="1154.1099999999999"/>
    <n v="1009.56"/>
    <n v="144.55000000000001"/>
    <m/>
    <n v="5"/>
    <s v="Met"/>
    <x v="4"/>
    <n v="2"/>
    <x v="0"/>
  </r>
  <r>
    <s v="TXN-10942"/>
    <d v="2024-11-07T00:00:00"/>
    <x v="4"/>
    <s v="Lim Pei Yi"/>
    <x v="3"/>
    <s v="Furniture"/>
    <n v="446.07"/>
    <n v="342.5"/>
    <n v="103.57"/>
    <m/>
    <n v="3"/>
    <s v="Met"/>
    <x v="8"/>
    <n v="4"/>
    <x v="0"/>
  </r>
  <r>
    <s v="TXN-10639"/>
    <d v="2024-05-05T00:00:00"/>
    <x v="1"/>
    <s v="Farhana Ismail"/>
    <x v="4"/>
    <s v="Automotive Parts"/>
    <n v="1914.93"/>
    <n v="1181.29"/>
    <n v="733.64"/>
    <n v="8"/>
    <n v="2"/>
    <s v="Missed"/>
    <x v="7"/>
    <n v="2"/>
    <x v="1"/>
  </r>
  <r>
    <s v="TXN-10036"/>
    <d v="2024-06-26T00:00:00"/>
    <x v="3"/>
    <s v="Daniel Tan"/>
    <x v="2"/>
    <s v="Apparel"/>
    <n v="1934.7"/>
    <n v="1384.05"/>
    <n v="550.65"/>
    <m/>
    <n v="5"/>
    <s v="Met"/>
    <x v="4"/>
    <n v="2"/>
    <x v="0"/>
  </r>
  <r>
    <s v="TXN-10079"/>
    <d v="2024-10-16T00:00:00"/>
    <x v="1"/>
    <s v="Michelle Tan"/>
    <x v="3"/>
    <s v="Apparel"/>
    <n v="2304.02"/>
    <n v="1835.46"/>
    <n v="468.56"/>
    <m/>
    <n v="3"/>
    <s v="Missed"/>
    <x v="5"/>
    <n v="4"/>
    <x v="0"/>
  </r>
  <r>
    <s v="TXN-10423"/>
    <d v="2024-07-17T00:00:00"/>
    <x v="2"/>
    <s v="Chong Kah Wei"/>
    <x v="3"/>
    <s v="Furniture"/>
    <n v="1746.07"/>
    <n v="1438.54"/>
    <n v="307.52999999999997"/>
    <n v="12"/>
    <n v="1"/>
    <s v="Met"/>
    <x v="3"/>
    <n v="3"/>
    <x v="1"/>
  </r>
  <r>
    <s v="TXN-10700"/>
    <d v="2024-08-05T00:00:00"/>
    <x v="4"/>
    <s v="Nabilah Yusof"/>
    <x v="5"/>
    <s v="Apparel"/>
    <n v="1931.23"/>
    <n v="1247.32"/>
    <n v="683.91"/>
    <n v="5"/>
    <n v="1"/>
    <s v="Met"/>
    <x v="2"/>
    <n v="3"/>
    <x v="1"/>
  </r>
  <r>
    <s v="TXN-10915"/>
    <d v="2024-11-09T00:00:00"/>
    <x v="3"/>
    <s v="Kevin Lim"/>
    <x v="4"/>
    <s v="Automotive Parts"/>
    <n v="547.91"/>
    <n v="411.67"/>
    <n v="136.24"/>
    <n v="3"/>
    <n v="3"/>
    <s v="Met"/>
    <x v="8"/>
    <n v="4"/>
    <x v="1"/>
  </r>
  <r>
    <s v="TXN-10837"/>
    <d v="2024-06-04T00:00:00"/>
    <x v="4"/>
    <s v="Uknown"/>
    <x v="0"/>
    <s v="Apparel"/>
    <n v="2914.53"/>
    <n v="1997.89"/>
    <n v="916.64"/>
    <m/>
    <n v="1"/>
    <s v="Met"/>
    <x v="4"/>
    <n v="2"/>
    <x v="0"/>
  </r>
  <r>
    <s v="TXN-10071"/>
    <d v="2024-06-29T00:00:00"/>
    <x v="3"/>
    <s v="Farah Aziz"/>
    <x v="4"/>
    <s v="Groceries"/>
    <n v="497.06"/>
    <n v="336.44"/>
    <n v="160.62"/>
    <m/>
    <n v="3"/>
    <s v="Met"/>
    <x v="4"/>
    <n v="2"/>
    <x v="0"/>
  </r>
  <r>
    <s v="TXN-10263"/>
    <d v="2024-04-01T00:00:00"/>
    <x v="4"/>
    <s v="Aina Sofea"/>
    <x v="5"/>
    <s v="Groceries"/>
    <n v="1746.46"/>
    <n v="1114.9100000000001"/>
    <n v="631.54999999999995"/>
    <m/>
    <n v="5"/>
    <s v="Met"/>
    <x v="0"/>
    <n v="2"/>
    <x v="0"/>
  </r>
  <r>
    <s v="TXN-10262"/>
    <d v="2024-02-04T00:00:00"/>
    <x v="3"/>
    <s v="Kevin Lim"/>
    <x v="3"/>
    <s v="Electronics"/>
    <n v="1431.96"/>
    <n v="1069.9100000000001"/>
    <n v="362.05"/>
    <m/>
    <n v="4"/>
    <s v="Met"/>
    <x v="10"/>
    <n v="1"/>
    <x v="0"/>
  </r>
  <r>
    <s v="TXN-10827"/>
    <d v="2024-12-07T00:00:00"/>
    <x v="1"/>
    <s v="Farhana Ismail"/>
    <x v="2"/>
    <s v="Furniture"/>
    <n v="3022.15"/>
    <n v="1849.95"/>
    <n v="1172.2"/>
    <m/>
    <n v="5"/>
    <s v="Met"/>
    <x v="11"/>
    <n v="4"/>
    <x v="0"/>
  </r>
  <r>
    <s v="TXN-10387"/>
    <d v="2024-08-05T00:00:00"/>
    <x v="2"/>
    <s v="Jasmine Wong"/>
    <x v="4"/>
    <s v="Automotive Parts"/>
    <n v="867.82"/>
    <n v="650.91999999999996"/>
    <n v="216.9"/>
    <m/>
    <n v="4"/>
    <s v="Met"/>
    <x v="2"/>
    <n v="3"/>
    <x v="0"/>
  </r>
  <r>
    <s v="TXN-10085"/>
    <d v="2024-07-11T00:00:00"/>
    <x v="4"/>
    <s v="Goh Wen Xin"/>
    <x v="2"/>
    <s v="Electronics"/>
    <n v="875.64"/>
    <n v="633.27"/>
    <n v="242.37"/>
    <m/>
    <n v="5"/>
    <s v="Met"/>
    <x v="3"/>
    <n v="3"/>
    <x v="0"/>
  </r>
  <r>
    <s v="TXN-10534"/>
    <d v="2024-12-27T00:00:00"/>
    <x v="2"/>
    <s v="Priya Devi"/>
    <x v="1"/>
    <s v="Groceries"/>
    <n v="1683.59"/>
    <n v="1341.1"/>
    <n v="342.49"/>
    <m/>
    <n v="4"/>
    <s v="Met"/>
    <x v="11"/>
    <n v="4"/>
    <x v="0"/>
  </r>
  <r>
    <s v="TXN-10182"/>
    <d v="2024-09-12T00:00:00"/>
    <x v="1"/>
    <s v="Eddy Chong"/>
    <x v="0"/>
    <s v="Groceries"/>
    <n v="1530.17"/>
    <n v="1052.26"/>
    <n v="477.91"/>
    <n v="7"/>
    <n v="1"/>
    <s v="Met"/>
    <x v="9"/>
    <n v="3"/>
    <x v="1"/>
  </r>
  <r>
    <s v="TXN-10256"/>
    <d v="2024-10-12T00:00:00"/>
    <x v="0"/>
    <s v="Noraini Yaakob"/>
    <x v="0"/>
    <s v="Furniture"/>
    <n v="1766.27"/>
    <n v="1134.92"/>
    <n v="631.35"/>
    <m/>
    <m/>
    <s v="Met"/>
    <x v="5"/>
    <n v="4"/>
    <x v="0"/>
  </r>
  <r>
    <s v="TXN-10943"/>
    <d v="2024-04-03T00:00:00"/>
    <x v="3"/>
    <s v="Wei Jian"/>
    <x v="3"/>
    <s v="Groceries"/>
    <n v="1611.41"/>
    <n v="930.1"/>
    <n v="681.31"/>
    <m/>
    <n v="5"/>
    <s v="Met"/>
    <x v="0"/>
    <n v="2"/>
    <x v="0"/>
  </r>
  <r>
    <s v="TXN-10005"/>
    <d v="2024-06-10T00:00:00"/>
    <x v="3"/>
    <s v="Raj Kumar"/>
    <x v="0"/>
    <s v="Apparel"/>
    <n v="1493.9"/>
    <n v="846.36"/>
    <n v="647.54"/>
    <m/>
    <n v="5"/>
    <s v="Met"/>
    <x v="4"/>
    <n v="2"/>
    <x v="0"/>
  </r>
  <r>
    <s v="TXN-10420"/>
    <d v="2024-02-24T00:00:00"/>
    <x v="3"/>
    <s v="Daniel Tan"/>
    <x v="3"/>
    <s v="Furniture"/>
    <n v="2953.87"/>
    <n v="1738.19"/>
    <n v="1215.68"/>
    <m/>
    <n v="4"/>
    <s v="Met"/>
    <x v="10"/>
    <n v="1"/>
    <x v="0"/>
  </r>
  <r>
    <s v="TXN-10388"/>
    <d v="2024-08-21T00:00:00"/>
    <x v="0"/>
    <s v="Noraini Yaakob"/>
    <x v="5"/>
    <s v="Furniture"/>
    <n v="2161.3000000000002"/>
    <n v="1357.3"/>
    <n v="804"/>
    <m/>
    <n v="5"/>
    <s v="Met"/>
    <x v="2"/>
    <n v="3"/>
    <x v="0"/>
  </r>
  <r>
    <s v="TXN-10666"/>
    <d v="2024-03-07T00:00:00"/>
    <x v="3"/>
    <s v="Aisha Rahman"/>
    <x v="2"/>
    <s v="Groceries"/>
    <n v="2176.62"/>
    <n v="1207.98"/>
    <n v="968.64"/>
    <m/>
    <n v="5"/>
    <s v="Met"/>
    <x v="6"/>
    <n v="1"/>
    <x v="0"/>
  </r>
  <r>
    <s v="TXN-10785"/>
    <d v="2024-10-18T00:00:00"/>
    <x v="1"/>
    <s v="Anand Raj"/>
    <x v="4"/>
    <s v="Furniture"/>
    <n v="1026.02"/>
    <n v="759.51"/>
    <n v="266.51"/>
    <m/>
    <n v="5"/>
    <s v="Met"/>
    <x v="5"/>
    <n v="4"/>
    <x v="0"/>
  </r>
  <r>
    <s v="TXN-10432"/>
    <d v="2024-04-28T00:00:00"/>
    <x v="2"/>
    <s v="Priya Devi"/>
    <x v="3"/>
    <s v="Furniture"/>
    <n v="1850.58"/>
    <n v="1534.66"/>
    <n v="315.92"/>
    <m/>
    <n v="5"/>
    <s v="Met"/>
    <x v="0"/>
    <n v="2"/>
    <x v="0"/>
  </r>
  <r>
    <s v="TXN-10609"/>
    <d v="2024-07-19T00:00:00"/>
    <x v="1"/>
    <s v="Syafiq Azman"/>
    <x v="1"/>
    <s v="Apparel"/>
    <n v="1466.17"/>
    <n v="886.99"/>
    <n v="579.17999999999995"/>
    <m/>
    <n v="3"/>
    <s v="Met"/>
    <x v="3"/>
    <n v="3"/>
    <x v="0"/>
  </r>
  <r>
    <s v="TXN-10911"/>
    <d v="2024-05-09T00:00:00"/>
    <x v="3"/>
    <s v="Farah Aziz"/>
    <x v="0"/>
    <s v="Automotive Parts"/>
    <n v="2862.53"/>
    <n v="2116.65"/>
    <n v="745.88"/>
    <m/>
    <n v="1"/>
    <s v="Met"/>
    <x v="7"/>
    <n v="2"/>
    <x v="0"/>
  </r>
  <r>
    <s v="TXN-10163"/>
    <d v="2024-04-19T00:00:00"/>
    <x v="3"/>
    <s v="Kevin Lim"/>
    <x v="1"/>
    <s v="Electronics"/>
    <n v="1747.3"/>
    <n v="1018.98"/>
    <n v="728.32"/>
    <m/>
    <n v="1"/>
    <s v="Met"/>
    <x v="0"/>
    <n v="2"/>
    <x v="0"/>
  </r>
  <r>
    <s v="TXN-10029"/>
    <d v="2024-10-07T00:00:00"/>
    <x v="1"/>
    <s v="Nurul Huda"/>
    <x v="3"/>
    <s v="Apparel"/>
    <n v="1643.81"/>
    <n v="969.5"/>
    <n v="674.31"/>
    <m/>
    <n v="5"/>
    <s v="Missed"/>
    <x v="5"/>
    <n v="4"/>
    <x v="0"/>
  </r>
  <r>
    <s v="TXN-10468"/>
    <d v="2024-11-13T00:00:00"/>
    <x v="4"/>
    <s v="Lim Pei Yi"/>
    <x v="3"/>
    <s v="Groceries"/>
    <n v="1639.49"/>
    <n v="1001.38"/>
    <n v="638.11"/>
    <n v="7"/>
    <n v="3"/>
    <s v="Met"/>
    <x v="8"/>
    <n v="4"/>
    <x v="1"/>
  </r>
  <r>
    <s v="TXN-10498"/>
    <d v="2024-06-18T00:00:00"/>
    <x v="3"/>
    <s v="Aisha Rahman"/>
    <x v="0"/>
    <s v="Apparel"/>
    <n v="1298.1400000000001"/>
    <n v="780.77"/>
    <n v="517.37"/>
    <m/>
    <n v="4"/>
    <s v="Met"/>
    <x v="4"/>
    <n v="2"/>
    <x v="0"/>
  </r>
  <r>
    <s v="TXN-10483"/>
    <d v="2024-08-19T00:00:00"/>
    <x v="0"/>
    <s v="Roslan Ahmad"/>
    <x v="5"/>
    <s v="Furniture"/>
    <n v="2290.66"/>
    <n v="1434.32"/>
    <n v="856.34"/>
    <n v="1"/>
    <n v="4"/>
    <s v="Met"/>
    <x v="2"/>
    <n v="3"/>
    <x v="1"/>
  </r>
  <r>
    <s v="TXN-10891"/>
    <d v="2024-10-06T00:00:00"/>
    <x v="3"/>
    <s v="Nur Aina"/>
    <x v="4"/>
    <s v="Groceries"/>
    <n v="3298.72"/>
    <n v="1827.77"/>
    <n v="1470.95"/>
    <m/>
    <n v="4"/>
    <s v="Met"/>
    <x v="5"/>
    <n v="4"/>
    <x v="0"/>
  </r>
  <r>
    <s v="TXN-10521"/>
    <d v="2024-05-24T00:00:00"/>
    <x v="0"/>
    <s v="Karthik Selvam"/>
    <x v="5"/>
    <s v="Groceries"/>
    <n v="1095.92"/>
    <n v="855.66"/>
    <n v="240.26"/>
    <n v="1"/>
    <n v="4"/>
    <s v="Met"/>
    <x v="7"/>
    <n v="2"/>
    <x v="1"/>
  </r>
  <r>
    <s v="TXN-10859"/>
    <d v="2024-08-10T00:00:00"/>
    <x v="3"/>
    <s v="Siti Noraini"/>
    <x v="0"/>
    <s v="Groceries"/>
    <n v="2091.79"/>
    <n v="1464.1"/>
    <n v="627.69000000000005"/>
    <m/>
    <n v="5"/>
    <s v="Met"/>
    <x v="2"/>
    <n v="3"/>
    <x v="0"/>
  </r>
  <r>
    <s v="TXN-10980"/>
    <d v="2024-03-06T00:00:00"/>
    <x v="1"/>
    <s v="Farhana Ismail"/>
    <x v="4"/>
    <s v="Electronics"/>
    <n v="1170.21"/>
    <n v="823.35"/>
    <n v="346.86"/>
    <m/>
    <n v="4"/>
    <s v="Met"/>
    <x v="6"/>
    <n v="1"/>
    <x v="0"/>
  </r>
  <r>
    <s v="TXN-10676"/>
    <d v="2024-08-30T00:00:00"/>
    <x v="2"/>
    <s v="Muthu Kannan"/>
    <x v="0"/>
    <s v="Groceries"/>
    <n v="182.9"/>
    <n v="144.78"/>
    <n v="38.119999999999997"/>
    <m/>
    <n v="1"/>
    <s v="Met"/>
    <x v="2"/>
    <n v="3"/>
    <x v="0"/>
  </r>
  <r>
    <s v="TXN-10957"/>
    <d v="2024-09-25T00:00:00"/>
    <x v="3"/>
    <s v="Kevin Lim"/>
    <x v="4"/>
    <s v="Electronics"/>
    <n v="3234.2"/>
    <n v="2563.34"/>
    <n v="670.86"/>
    <m/>
    <n v="5"/>
    <s v="Met"/>
    <x v="9"/>
    <n v="3"/>
    <x v="0"/>
  </r>
  <r>
    <s v="TXN-10629"/>
    <d v="2024-01-16T00:00:00"/>
    <x v="4"/>
    <s v="Faisal Rashid"/>
    <x v="2"/>
    <s v="Groceries"/>
    <n v="3243.9"/>
    <n v="2044.6"/>
    <n v="1199.3"/>
    <m/>
    <m/>
    <s v="Met"/>
    <x v="1"/>
    <n v="1"/>
    <x v="0"/>
  </r>
  <r>
    <s v="TXN-10696"/>
    <d v="2024-03-09T00:00:00"/>
    <x v="3"/>
    <s v="Nur Aina"/>
    <x v="3"/>
    <s v="Electronics"/>
    <n v="1489.61"/>
    <n v="941.1"/>
    <n v="548.51"/>
    <m/>
    <n v="4"/>
    <s v="Met"/>
    <x v="6"/>
    <n v="1"/>
    <x v="0"/>
  </r>
  <r>
    <s v="TXN-10403"/>
    <d v="2024-02-02T00:00:00"/>
    <x v="4"/>
    <s v="Brandon Ong"/>
    <x v="2"/>
    <s v="Furniture"/>
    <n v="3166.93"/>
    <n v="2064.0500000000002"/>
    <n v="1102.8800000000001"/>
    <m/>
    <n v="4"/>
    <s v="Met"/>
    <x v="10"/>
    <n v="1"/>
    <x v="0"/>
  </r>
  <r>
    <s v="TXN-10899"/>
    <d v="2024-07-13T00:00:00"/>
    <x v="2"/>
    <s v="Jasmine Wong"/>
    <x v="1"/>
    <s v="Electronics"/>
    <n v="4715.57"/>
    <n v="4182.4399999999996"/>
    <n v="533.13"/>
    <m/>
    <n v="4"/>
    <s v="Met"/>
    <x v="3"/>
    <n v="3"/>
    <x v="0"/>
  </r>
  <r>
    <s v="TXN-10298"/>
    <d v="2024-01-23T00:00:00"/>
    <x v="0"/>
    <s v="Wong Li Ting"/>
    <x v="2"/>
    <s v="Electronics"/>
    <n v="3246.11"/>
    <n v="1974.84"/>
    <n v="1271.27"/>
    <n v="3"/>
    <n v="3"/>
    <s v="Met"/>
    <x v="1"/>
    <n v="1"/>
    <x v="1"/>
  </r>
  <r>
    <s v="TXN-10936"/>
    <d v="2024-11-09T00:00:00"/>
    <x v="3"/>
    <s v="Raj Kumar"/>
    <x v="5"/>
    <s v="Automotive Parts"/>
    <n v="2700.53"/>
    <n v="1820.61"/>
    <n v="879.92"/>
    <m/>
    <n v="5"/>
    <s v="Met"/>
    <x v="8"/>
    <n v="4"/>
    <x v="0"/>
  </r>
  <r>
    <s v="TXN-10962"/>
    <d v="2024-02-28T00:00:00"/>
    <x v="2"/>
    <s v="Priya Devi"/>
    <x v="2"/>
    <s v="Electronics"/>
    <n v="2991.05"/>
    <n v="2210.35"/>
    <n v="780.7"/>
    <n v="14"/>
    <n v="4"/>
    <s v="Met"/>
    <x v="10"/>
    <n v="1"/>
    <x v="1"/>
  </r>
  <r>
    <s v="TXN-10119"/>
    <d v="2024-02-14T00:00:00"/>
    <x v="0"/>
    <s v="Roslan Ahmad"/>
    <x v="3"/>
    <s v="Groceries"/>
    <n v="1492.79"/>
    <n v="856.63"/>
    <n v="636.16"/>
    <m/>
    <n v="1"/>
    <s v="Met"/>
    <x v="10"/>
    <n v="1"/>
    <x v="0"/>
  </r>
  <r>
    <s v="TXN-10356"/>
    <d v="2024-04-02T00:00:00"/>
    <x v="1"/>
    <s v="Farhana Ismail"/>
    <x v="1"/>
    <s v="Electronics"/>
    <n v="2552.62"/>
    <n v="1794.52"/>
    <n v="758.1"/>
    <m/>
    <n v="4"/>
    <s v="Missed"/>
    <x v="0"/>
    <n v="2"/>
    <x v="0"/>
  </r>
  <r>
    <s v="TXN-10366"/>
    <d v="2024-05-02T00:00:00"/>
    <x v="2"/>
    <s v="Sarah Lee"/>
    <x v="0"/>
    <s v="Automotive Parts"/>
    <n v="1957.77"/>
    <n v="1649.99"/>
    <n v="307.77999999999997"/>
    <m/>
    <n v="4"/>
    <s v="Met"/>
    <x v="7"/>
    <n v="2"/>
    <x v="0"/>
  </r>
  <r>
    <s v="TXN-10191"/>
    <d v="2024-04-25T00:00:00"/>
    <x v="1"/>
    <s v="Eddy Chong"/>
    <x v="1"/>
    <s v="Apparel"/>
    <n v="694.9"/>
    <n v="395"/>
    <n v="299.89999999999998"/>
    <m/>
    <n v="5"/>
    <s v="Missed"/>
    <x v="0"/>
    <n v="2"/>
    <x v="0"/>
  </r>
  <r>
    <s v="TXN-10923"/>
    <d v="2024-10-06T00:00:00"/>
    <x v="3"/>
    <s v="Wei Jian"/>
    <x v="3"/>
    <s v="Apparel"/>
    <n v="418.53"/>
    <n v="309.73"/>
    <n v="108.8"/>
    <n v="6"/>
    <n v="1"/>
    <s v="Met"/>
    <x v="5"/>
    <n v="4"/>
    <x v="1"/>
  </r>
  <r>
    <s v="TXN-10500"/>
    <d v="2024-08-05T00:00:00"/>
    <x v="2"/>
    <s v="Amir Hakim"/>
    <x v="1"/>
    <s v="Electronics"/>
    <n v="990.9"/>
    <n v="755.84"/>
    <n v="235.06"/>
    <m/>
    <n v="5"/>
    <s v="Met"/>
    <x v="2"/>
    <n v="3"/>
    <x v="0"/>
  </r>
  <r>
    <s v="TXN-10992"/>
    <d v="2024-03-17T00:00:00"/>
    <x v="1"/>
    <s v="Farhana Ismail"/>
    <x v="2"/>
    <s v="Electronics"/>
    <n v="244.06"/>
    <n v="175.43"/>
    <n v="68.63"/>
    <n v="3"/>
    <n v="1"/>
    <s v="Met"/>
    <x v="6"/>
    <n v="1"/>
    <x v="1"/>
  </r>
  <r>
    <s v="TXN-10246"/>
    <d v="2024-03-17T00:00:00"/>
    <x v="1"/>
    <s v="Syafiq Azman"/>
    <x v="2"/>
    <s v="Groceries"/>
    <n v="1375.49"/>
    <n v="833.31"/>
    <n v="542.17999999999995"/>
    <n v="6"/>
    <n v="2"/>
    <s v="Missed"/>
    <x v="6"/>
    <n v="1"/>
    <x v="1"/>
  </r>
  <r>
    <s v="TXN-10385"/>
    <d v="2024-01-15T00:00:00"/>
    <x v="2"/>
    <s v="Zulkifli Hassan"/>
    <x v="0"/>
    <s v="Groceries"/>
    <n v="454.11"/>
    <n v="402.38"/>
    <n v="51.73"/>
    <m/>
    <n v="3"/>
    <s v="Met"/>
    <x v="1"/>
    <n v="1"/>
    <x v="0"/>
  </r>
  <r>
    <s v="TXN-10841"/>
    <d v="2024-03-06T00:00:00"/>
    <x v="0"/>
    <s v="Hock Seng"/>
    <x v="5"/>
    <s v="Electronic"/>
    <n v="2137.9899999999998"/>
    <n v="1536.81"/>
    <n v="601.17999999999995"/>
    <m/>
    <n v="4"/>
    <s v="Met"/>
    <x v="6"/>
    <n v="1"/>
    <x v="0"/>
  </r>
  <r>
    <s v="TXN-10396"/>
    <d v="2024-10-02T00:00:00"/>
    <x v="3"/>
    <s v="Siti Noraini"/>
    <x v="4"/>
    <s v="Electronics"/>
    <n v="1753.55"/>
    <n v="1342.94"/>
    <n v="410.61"/>
    <m/>
    <n v="4"/>
    <s v="Met"/>
    <x v="5"/>
    <n v="4"/>
    <x v="0"/>
  </r>
  <r>
    <s v="TXN-10882"/>
    <d v="2024-04-08T00:00:00"/>
    <x v="3"/>
    <s v="Wei Jian"/>
    <x v="5"/>
    <s v="Groceries"/>
    <n v="2794.97"/>
    <n v="2164.04"/>
    <n v="630.92999999999995"/>
    <n v="2"/>
    <n v="4"/>
    <s v="Met"/>
    <x v="0"/>
    <n v="2"/>
    <x v="1"/>
  </r>
  <r>
    <s v="TXN-10343"/>
    <d v="2024-02-20T00:00:00"/>
    <x v="4"/>
    <s v="Faisal Rashid"/>
    <x v="4"/>
    <s v="Electronics"/>
    <n v="1005.4"/>
    <n v="699.8"/>
    <n v="305.60000000000002"/>
    <m/>
    <n v="5"/>
    <s v="Met"/>
    <x v="10"/>
    <n v="1"/>
    <x v="0"/>
  </r>
  <r>
    <s v="TXN-10667"/>
    <d v="2024-07-21T00:00:00"/>
    <x v="2"/>
    <s v="Muthu Kannan"/>
    <x v="0"/>
    <s v="Apparel"/>
    <n v="3030.07"/>
    <n v="2273.9299999999998"/>
    <n v="756.14"/>
    <m/>
    <n v="3"/>
    <s v="Met"/>
    <x v="3"/>
    <n v="3"/>
    <x v="0"/>
  </r>
  <r>
    <s v="TXN-10089"/>
    <d v="2024-11-11T00:00:00"/>
    <x v="2"/>
    <s v="Zulkifli Hassan"/>
    <x v="1"/>
    <s v="Groceries"/>
    <n v="167.59"/>
    <n v="120.23"/>
    <n v="47.36"/>
    <n v="9"/>
    <n v="4"/>
    <s v="Missed"/>
    <x v="8"/>
    <n v="4"/>
    <x v="1"/>
  </r>
  <r>
    <s v="TXN-10253"/>
    <d v="2024-08-31T00:00:00"/>
    <x v="2"/>
    <s v="Jasmine Wong"/>
    <x v="2"/>
    <s v="Electronics"/>
    <n v="4628.5600000000004"/>
    <n v="4133.79"/>
    <n v="494.77"/>
    <n v="10"/>
    <n v="2"/>
    <s v="Missed"/>
    <x v="2"/>
    <n v="3"/>
    <x v="1"/>
  </r>
  <r>
    <s v="TXN-10682"/>
    <d v="2024-04-01T00:00:00"/>
    <x v="1"/>
    <s v="Vikram Singh"/>
    <x v="0"/>
    <s v="Furniture"/>
    <n v="3276.19"/>
    <n v="2617.2199999999998"/>
    <n v="658.97"/>
    <m/>
    <n v="1"/>
    <s v="Met"/>
    <x v="0"/>
    <n v="2"/>
    <x v="0"/>
  </r>
  <r>
    <s v="TXN-10462"/>
    <d v="2024-11-24T00:00:00"/>
    <x v="0"/>
    <s v="Wong Li Ting"/>
    <x v="5"/>
    <s v="Automotive Parts"/>
    <n v="2404.88"/>
    <n v="1713.5"/>
    <n v="691.38"/>
    <m/>
    <n v="4"/>
    <s v="Met"/>
    <x v="8"/>
    <n v="4"/>
    <x v="0"/>
  </r>
  <r>
    <s v="TXN-10299"/>
    <d v="2024-01-12T00:00:00"/>
    <x v="3"/>
    <s v="Kevin Lim"/>
    <x v="4"/>
    <s v="Furniture"/>
    <n v="1261.79"/>
    <n v="927.42"/>
    <n v="334.37"/>
    <m/>
    <n v="4"/>
    <s v="Met"/>
    <x v="1"/>
    <n v="1"/>
    <x v="0"/>
  </r>
  <r>
    <s v="TXN-10649"/>
    <d v="2024-04-20T00:00:00"/>
    <x v="1"/>
    <s v="Lee Jia Hui"/>
    <x v="2"/>
    <s v="Apparel"/>
    <n v="1419.11"/>
    <n v="987.23"/>
    <n v="431.88"/>
    <m/>
    <n v="3"/>
    <s v="Missed"/>
    <x v="0"/>
    <n v="2"/>
    <x v="0"/>
  </r>
  <r>
    <s v="TXN-10376"/>
    <d v="2024-08-05T00:00:00"/>
    <x v="0"/>
    <s v="Maya Devi"/>
    <x v="3"/>
    <s v="Furniture"/>
    <n v="2590.83"/>
    <n v="1693.23"/>
    <n v="897.6"/>
    <n v="6"/>
    <n v="1"/>
    <s v="Met"/>
    <x v="2"/>
    <n v="3"/>
    <x v="1"/>
  </r>
  <r>
    <s v="TXN-10093"/>
    <d v="2024-11-27T00:00:00"/>
    <x v="1"/>
    <s v="Michelle Tan"/>
    <x v="3"/>
    <s v="Electronics"/>
    <n v="1086.47"/>
    <n v="809.65"/>
    <n v="276.82"/>
    <m/>
    <n v="4"/>
    <s v="Met"/>
    <x v="8"/>
    <n v="4"/>
    <x v="0"/>
  </r>
  <r>
    <s v="TXN-10441"/>
    <d v="2024-02-13T00:00:00"/>
    <x v="0"/>
    <s v="Roslan Ahmad"/>
    <x v="0"/>
    <s v="Automotive Parts"/>
    <n v="273.85000000000002"/>
    <n v="173.52"/>
    <n v="100.33"/>
    <m/>
    <n v="3"/>
    <s v="Met"/>
    <x v="10"/>
    <n v="1"/>
    <x v="0"/>
  </r>
  <r>
    <s v="TXN-10862"/>
    <d v="2024-07-18T00:00:00"/>
    <x v="0"/>
    <s v="Uknown"/>
    <x v="1"/>
    <s v="Apparel"/>
    <n v="2065.0500000000002"/>
    <n v="1321.38"/>
    <n v="743.67"/>
    <m/>
    <n v="5"/>
    <s v="Missed"/>
    <x v="3"/>
    <n v="3"/>
    <x v="0"/>
  </r>
  <r>
    <s v="TXN-10770"/>
    <d v="2024-08-08T00:00:00"/>
    <x v="3"/>
    <s v="Siti Noraini"/>
    <x v="1"/>
    <s v="Groceries"/>
    <n v="2509.13"/>
    <n v="1971.39"/>
    <n v="537.74"/>
    <m/>
    <n v="4"/>
    <s v="Met"/>
    <x v="2"/>
    <n v="3"/>
    <x v="0"/>
  </r>
  <r>
    <s v="TXN-10330"/>
    <d v="2024-12-05T00:00:00"/>
    <x v="1"/>
    <s v="Nurul Huda"/>
    <x v="1"/>
    <s v="Electronics"/>
    <n v="3610.77"/>
    <n v="2628.56"/>
    <n v="982.21"/>
    <n v="6"/>
    <n v="3"/>
    <s v="Met"/>
    <x v="11"/>
    <n v="4"/>
    <x v="1"/>
  </r>
  <r>
    <s v="TXN-10558"/>
    <d v="2024-07-31T00:00:00"/>
    <x v="4"/>
    <s v="Lim Pei Yi"/>
    <x v="5"/>
    <s v="Groceries"/>
    <n v="625.15"/>
    <n v="486.39"/>
    <n v="138.76"/>
    <m/>
    <n v="4"/>
    <s v="Met"/>
    <x v="3"/>
    <n v="3"/>
    <x v="0"/>
  </r>
  <r>
    <s v="TXN-10642"/>
    <d v="2024-01-15T00:00:00"/>
    <x v="4"/>
    <s v="Chen Mei Ling"/>
    <x v="2"/>
    <s v="Electronics"/>
    <n v="1292.1600000000001"/>
    <n v="978.57"/>
    <n v="313.58999999999997"/>
    <m/>
    <n v="5"/>
    <s v="Met"/>
    <x v="1"/>
    <n v="1"/>
    <x v="0"/>
  </r>
  <r>
    <s v="TXN-10008"/>
    <d v="2024-04-11T00:00:00"/>
    <x v="4"/>
    <s v="Lim Pei Yi"/>
    <x v="1"/>
    <s v="Groceries"/>
    <n v="662.01"/>
    <n v="490.3"/>
    <n v="171.71"/>
    <m/>
    <n v="3"/>
    <s v="Met"/>
    <x v="0"/>
    <n v="2"/>
    <x v="0"/>
  </r>
  <r>
    <s v="TXN-10722"/>
    <d v="2024-05-06T00:00:00"/>
    <x v="3"/>
    <s v="Farah Aziz"/>
    <x v="3"/>
    <s v="Groceries"/>
    <n v="969.72"/>
    <n v="726.63"/>
    <n v="243.09"/>
    <m/>
    <n v="4"/>
    <s v="Met"/>
    <x v="7"/>
    <n v="2"/>
    <x v="0"/>
  </r>
  <r>
    <s v="TXN-10062"/>
    <d v="2024-07-09T00:00:00"/>
    <x v="1"/>
    <s v="Eddy Chong"/>
    <x v="3"/>
    <s v="Apparel"/>
    <n v="512.96"/>
    <n v="312.11"/>
    <n v="200.85"/>
    <m/>
    <n v="4"/>
    <s v="Met"/>
    <x v="3"/>
    <n v="3"/>
    <x v="0"/>
  </r>
  <r>
    <s v="TXN-10634"/>
    <d v="2024-12-05T00:00:00"/>
    <x v="1"/>
    <s v="Nurul Huda"/>
    <x v="1"/>
    <s v="Furniture"/>
    <n v="3206.27"/>
    <n v="1813.41"/>
    <n v="1392.86"/>
    <n v="1"/>
    <n v="2"/>
    <s v="Missed"/>
    <x v="11"/>
    <n v="4"/>
    <x v="1"/>
  </r>
  <r>
    <s v="TXN-10818"/>
    <d v="2024-06-09T00:00:00"/>
    <x v="1"/>
    <s v="Syafiq Azman"/>
    <x v="0"/>
    <s v="Groceries"/>
    <n v="510.95"/>
    <n v="315.97000000000003"/>
    <n v="194.98"/>
    <m/>
    <n v="4"/>
    <s v="Met"/>
    <x v="4"/>
    <n v="2"/>
    <x v="0"/>
  </r>
  <r>
    <s v="TXN-10248"/>
    <d v="2024-11-28T00:00:00"/>
    <x v="0"/>
    <s v="Izzat Fikri"/>
    <x v="5"/>
    <s v="Electronics"/>
    <n v="1848.89"/>
    <n v="1257.8800000000001"/>
    <n v="591.01"/>
    <m/>
    <n v="4"/>
    <s v="Missed"/>
    <x v="8"/>
    <n v="4"/>
    <x v="0"/>
  </r>
  <r>
    <s v="TXN-10362"/>
    <d v="2024-10-20T00:00:00"/>
    <x v="2"/>
    <s v="Hafiz Idris"/>
    <x v="2"/>
    <s v="Auto Parts"/>
    <n v="3159.14"/>
    <n v="2501.75"/>
    <n v="657.39"/>
    <n v="10"/>
    <n v="2"/>
    <s v="Met"/>
    <x v="5"/>
    <n v="4"/>
    <x v="1"/>
  </r>
  <r>
    <s v="TXN-10252"/>
    <d v="2024-10-25T00:00:00"/>
    <x v="0"/>
    <s v="Izzat Fikri"/>
    <x v="2"/>
    <s v="Electronics"/>
    <n v="3807.67"/>
    <n v="2722.15"/>
    <n v="1085.52"/>
    <n v="9"/>
    <n v="2"/>
    <s v="Met"/>
    <x v="5"/>
    <n v="4"/>
    <x v="1"/>
  </r>
  <r>
    <s v="TXN-10582"/>
    <d v="2024-02-19T00:00:00"/>
    <x v="0"/>
    <s v="Tan Chee Keong"/>
    <x v="6"/>
    <s v="Automotive Parts"/>
    <n v="272.23"/>
    <n v="200.48"/>
    <n v="71.75"/>
    <m/>
    <n v="3"/>
    <s v="Met"/>
    <x v="10"/>
    <n v="1"/>
    <x v="0"/>
  </r>
  <r>
    <s v="TXN-10946"/>
    <d v="2024-07-25T00:00:00"/>
    <x v="4"/>
    <s v="Chen Mei Ling"/>
    <x v="2"/>
    <s v="Apparel"/>
    <n v="2683.33"/>
    <n v="1949.55"/>
    <n v="733.78"/>
    <m/>
    <n v="4"/>
    <s v="Met"/>
    <x v="3"/>
    <n v="3"/>
    <x v="0"/>
  </r>
  <r>
    <s v="TXN-10614"/>
    <d v="2024-05-20T00:00:00"/>
    <x v="2"/>
    <s v="Amir Hakim"/>
    <x v="3"/>
    <s v="Groceries"/>
    <n v="3088.43"/>
    <n v="2623.12"/>
    <n v="465.31"/>
    <m/>
    <n v="3"/>
    <s v="Met"/>
    <x v="7"/>
    <n v="2"/>
    <x v="0"/>
  </r>
  <r>
    <s v="TXN-10738"/>
    <d v="2024-02-05T00:00:00"/>
    <x v="3"/>
    <s v="Kevin Lim"/>
    <x v="0"/>
    <s v="Groceries"/>
    <n v="1246.99"/>
    <n v="784.15"/>
    <n v="462.84"/>
    <m/>
    <n v="3"/>
    <s v="Met"/>
    <x v="10"/>
    <n v="1"/>
    <x v="0"/>
  </r>
  <r>
    <s v="TXN-10522"/>
    <d v="2024-04-10T00:00:00"/>
    <x v="2"/>
    <s v="Jasmine Wong"/>
    <x v="0"/>
    <s v="Electronics"/>
    <n v="2613.3200000000002"/>
    <n v="1834.57"/>
    <n v="778.75"/>
    <m/>
    <n v="3"/>
    <s v="Met"/>
    <x v="0"/>
    <n v="2"/>
    <x v="0"/>
  </r>
  <r>
    <s v="TXN-10976"/>
    <d v="2024-04-20T00:00:00"/>
    <x v="4"/>
    <s v="Suresh Pillai"/>
    <x v="4"/>
    <s v="Electronics"/>
    <n v="2591.92"/>
    <n v="1662.79"/>
    <n v="929.13"/>
    <m/>
    <n v="5"/>
    <s v="Met"/>
    <x v="0"/>
    <n v="2"/>
    <x v="0"/>
  </r>
  <r>
    <s v="TXN-10968"/>
    <d v="2024-08-19T00:00:00"/>
    <x v="2"/>
    <s v="Jasmine Wong"/>
    <x v="5"/>
    <s v="Automotive Parts"/>
    <n v="1070.92"/>
    <n v="933.47"/>
    <n v="137.44999999999999"/>
    <m/>
    <n v="4"/>
    <s v="Met"/>
    <x v="2"/>
    <n v="3"/>
    <x v="0"/>
  </r>
  <r>
    <s v="TXN-10081"/>
    <d v="2024-03-18T00:00:00"/>
    <x v="4"/>
    <s v="Brandon Ong"/>
    <x v="2"/>
    <s v="Groceries"/>
    <n v="3358.37"/>
    <n v="2225.36"/>
    <n v="1133.01"/>
    <m/>
    <n v="5"/>
    <s v="Missed"/>
    <x v="6"/>
    <n v="1"/>
    <x v="0"/>
  </r>
  <r>
    <s v="TXN-10451"/>
    <d v="2024-09-30T00:00:00"/>
    <x v="1"/>
    <s v="Eddy Chong"/>
    <x v="3"/>
    <s v="Electronics"/>
    <n v="3035.69"/>
    <n v="1703.77"/>
    <n v="1331.92"/>
    <m/>
    <n v="2"/>
    <s v="Met"/>
    <x v="9"/>
    <n v="3"/>
    <x v="0"/>
  </r>
  <r>
    <s v="TXN-10144"/>
    <d v="2024-06-04T00:00:00"/>
    <x v="2"/>
    <s v="Chong Kah Wei"/>
    <x v="3"/>
    <s v="Electronics"/>
    <n v="239.75"/>
    <n v="212.22"/>
    <n v="27.53"/>
    <m/>
    <n v="4"/>
    <s v="Met"/>
    <x v="4"/>
    <n v="2"/>
    <x v="0"/>
  </r>
  <r>
    <s v="TXN-10412"/>
    <d v="2024-08-20T00:00:00"/>
    <x v="3"/>
    <s v="Uknown"/>
    <x v="1"/>
    <s v="Groceries"/>
    <n v="2921.31"/>
    <n v="1967.61"/>
    <n v="953.7"/>
    <m/>
    <n v="5"/>
    <s v="Met"/>
    <x v="2"/>
    <n v="3"/>
    <x v="0"/>
  </r>
  <r>
    <s v="TXN-10776"/>
    <d v="2024-04-02T00:00:00"/>
    <x v="4"/>
    <s v="Nabilah Yusof"/>
    <x v="5"/>
    <s v="Furniture"/>
    <n v="2126.86"/>
    <n v="1258.77"/>
    <n v="868.09"/>
    <m/>
    <n v="5"/>
    <s v="Met"/>
    <x v="0"/>
    <n v="2"/>
    <x v="0"/>
  </r>
  <r>
    <s v="TXN-10389"/>
    <d v="2024-02-23T00:00:00"/>
    <x v="3"/>
    <s v="Daniel Tan"/>
    <x v="1"/>
    <s v="Groceries"/>
    <n v="1477.84"/>
    <n v="1005.91"/>
    <n v="471.93"/>
    <n v="2"/>
    <n v="3"/>
    <s v="Met"/>
    <x v="10"/>
    <n v="1"/>
    <x v="1"/>
  </r>
  <r>
    <s v="TXN-10211"/>
    <d v="2024-08-07T00:00:00"/>
    <x v="2"/>
    <s v="Chong Kah Wei"/>
    <x v="2"/>
    <s v="Furniture"/>
    <n v="1501.37"/>
    <n v="1369.81"/>
    <n v="131.56"/>
    <n v="11"/>
    <n v="4"/>
    <s v="Met"/>
    <x v="2"/>
    <n v="3"/>
    <x v="1"/>
  </r>
  <r>
    <s v="TXN-10967"/>
    <d v="2024-10-06T00:00:00"/>
    <x v="4"/>
    <s v="Lim Pei Yi"/>
    <x v="4"/>
    <s v="Furniture"/>
    <n v="1850.24"/>
    <n v="1462.81"/>
    <n v="387.43"/>
    <m/>
    <n v="4"/>
    <s v="Missed"/>
    <x v="5"/>
    <n v="4"/>
    <x v="0"/>
  </r>
  <r>
    <s v="TXN-10806"/>
    <d v="2024-10-21T00:00:00"/>
    <x v="4"/>
    <s v="Nabilah Yusof"/>
    <x v="0"/>
    <s v="Automotive Parts"/>
    <n v="3408.62"/>
    <n v="2471.2199999999998"/>
    <n v="937.4"/>
    <m/>
    <n v="5"/>
    <s v="Met"/>
    <x v="5"/>
    <n v="4"/>
    <x v="0"/>
  </r>
  <r>
    <s v="TXN-10815"/>
    <d v="2024-05-16T00:00:00"/>
    <x v="1"/>
    <s v="Vikram Singh"/>
    <x v="3"/>
    <s v="Groceries"/>
    <n v="374.2"/>
    <n v="242.25"/>
    <n v="131.94999999999999"/>
    <m/>
    <n v="3"/>
    <s v="Met"/>
    <x v="7"/>
    <n v="2"/>
    <x v="0"/>
  </r>
  <r>
    <s v="TXN-10714"/>
    <d v="2024-11-05T00:00:00"/>
    <x v="0"/>
    <s v="Roslan Ahmad"/>
    <x v="2"/>
    <s v="Groceries"/>
    <n v="2956.88"/>
    <n v="2270.9499999999998"/>
    <n v="685.93"/>
    <n v="3"/>
    <n v="3"/>
    <s v="Met"/>
    <x v="8"/>
    <n v="4"/>
    <x v="1"/>
  </r>
  <r>
    <s v="TXN-10352"/>
    <d v="2024-04-29T00:00:00"/>
    <x v="1"/>
    <s v="Lee Jia Hui"/>
    <x v="0"/>
    <s v="Apparel"/>
    <n v="3248.13"/>
    <n v="1816.42"/>
    <n v="1431.71"/>
    <m/>
    <n v="2"/>
    <s v="Met"/>
    <x v="0"/>
    <n v="2"/>
    <x v="0"/>
  </r>
  <r>
    <s v="TXN-10928"/>
    <d v="2024-11-10T00:00:00"/>
    <x v="2"/>
    <s v="Hafiz Idris"/>
    <x v="3"/>
    <s v="Groceries"/>
    <n v="2020.18"/>
    <n v="1688.83"/>
    <n v="331.35"/>
    <m/>
    <n v="5"/>
    <s v="Met"/>
    <x v="8"/>
    <n v="4"/>
    <x v="0"/>
  </r>
  <r>
    <s v="TXN-10072"/>
    <d v="2024-10-12T00:00:00"/>
    <x v="1"/>
    <s v="Uknown"/>
    <x v="2"/>
    <s v="Groceries"/>
    <n v="237.95"/>
    <n v="186.14"/>
    <n v="51.81"/>
    <n v="8"/>
    <n v="2"/>
    <s v="Missed"/>
    <x v="5"/>
    <n v="4"/>
    <x v="1"/>
  </r>
  <r>
    <s v="TXN-10411"/>
    <d v="2024-04-27T00:00:00"/>
    <x v="1"/>
    <s v="Vikram Singh"/>
    <x v="1"/>
    <s v="Groceries"/>
    <n v="3187.93"/>
    <n v="2529.7199999999998"/>
    <n v="658.21"/>
    <m/>
    <n v="2"/>
    <s v="Met"/>
    <x v="0"/>
    <n v="2"/>
    <x v="0"/>
  </r>
  <r>
    <s v="TXN-10473"/>
    <d v="2024-06-05T00:00:00"/>
    <x v="3"/>
    <s v="Raj Kumar"/>
    <x v="4"/>
    <s v="Automotive Parts"/>
    <n v="1678.28"/>
    <n v="1078.1400000000001"/>
    <n v="600.14"/>
    <m/>
    <n v="5"/>
    <s v="Met"/>
    <x v="4"/>
    <n v="2"/>
    <x v="0"/>
  </r>
  <r>
    <s v="TXN-10732"/>
    <d v="2024-10-28T00:00:00"/>
    <x v="0"/>
    <s v="Maya Devi"/>
    <x v="0"/>
    <s v="Automotive Parts"/>
    <n v="1151.17"/>
    <n v="690.7"/>
    <n v="460.47"/>
    <m/>
    <n v="4"/>
    <s v="Met"/>
    <x v="5"/>
    <n v="4"/>
    <x v="0"/>
  </r>
  <r>
    <s v="TXN-10218"/>
    <d v="2024-08-12T00:00:00"/>
    <x v="2"/>
    <s v="Jasmine Wong"/>
    <x v="4"/>
    <s v="Furniture"/>
    <n v="3349.55"/>
    <n v="2542.4"/>
    <n v="807.15"/>
    <m/>
    <n v="3"/>
    <s v="Missed"/>
    <x v="2"/>
    <n v="3"/>
    <x v="0"/>
  </r>
  <r>
    <s v="TXN-10139"/>
    <d v="2024-10-15T00:00:00"/>
    <x v="0"/>
    <s v="Karthik Selvam"/>
    <x v="5"/>
    <s v="Furniture"/>
    <n v="955.58"/>
    <n v="724.96"/>
    <n v="230.62"/>
    <m/>
    <n v="4"/>
    <s v="Met"/>
    <x v="5"/>
    <n v="4"/>
    <x v="0"/>
  </r>
  <r>
    <s v="TXN-10901"/>
    <d v="2024-10-08T00:00:00"/>
    <x v="1"/>
    <s v="Syafiq Azman"/>
    <x v="5"/>
    <s v="Apparel"/>
    <n v="3282.95"/>
    <n v="2519.91"/>
    <n v="763.04"/>
    <m/>
    <n v="3"/>
    <s v="Met"/>
    <x v="5"/>
    <n v="4"/>
    <x v="0"/>
  </r>
  <r>
    <s v="TXN-10063"/>
    <d v="2024-01-20T00:00:00"/>
    <x v="3"/>
    <s v="Daniel Tan"/>
    <x v="0"/>
    <s v="Electronics"/>
    <n v="1169.6199999999999"/>
    <n v="787.34"/>
    <n v="382.28"/>
    <m/>
    <n v="4"/>
    <s v="Met"/>
    <x v="1"/>
    <n v="1"/>
    <x v="0"/>
  </r>
  <r>
    <s v="TXN-10966"/>
    <d v="2024-08-09T00:00:00"/>
    <x v="2"/>
    <s v="Zulkifli Hassan"/>
    <x v="1"/>
    <s v="Apparel"/>
    <n v="3416.28"/>
    <n v="2841.01"/>
    <n v="575.27"/>
    <m/>
    <n v="3"/>
    <s v="Met"/>
    <x v="2"/>
    <n v="3"/>
    <x v="0"/>
  </r>
  <r>
    <s v="TXN-10291"/>
    <d v="2024-10-08T00:00:00"/>
    <x v="1"/>
    <s v="Nurul Huda"/>
    <x v="0"/>
    <s v="Furniture"/>
    <n v="3252.59"/>
    <n v="1995.54"/>
    <n v="1257.05"/>
    <m/>
    <n v="5"/>
    <s v="Met"/>
    <x v="5"/>
    <n v="4"/>
    <x v="0"/>
  </r>
  <r>
    <s v="TXN-10971"/>
    <d v="2024-07-20T00:00:00"/>
    <x v="4"/>
    <s v="Goh Wen Xin"/>
    <x v="0"/>
    <s v="Automotive Parts"/>
    <n v="1693.3"/>
    <n v="1098.1300000000001"/>
    <n v="595.16999999999996"/>
    <m/>
    <n v="4"/>
    <s v="Met"/>
    <x v="3"/>
    <n v="3"/>
    <x v="0"/>
  </r>
  <r>
    <s v="TXN-10126"/>
    <d v="2024-01-17T00:00:00"/>
    <x v="2"/>
    <s v="Hafiz Idris"/>
    <x v="1"/>
    <s v="Apparel"/>
    <n v="2861.75"/>
    <n v="2267.17"/>
    <n v="594.58000000000004"/>
    <n v="6"/>
    <n v="3"/>
    <s v="Met"/>
    <x v="1"/>
    <n v="1"/>
    <x v="1"/>
  </r>
  <r>
    <s v="TXN-10735"/>
    <d v="2024-10-12T00:00:00"/>
    <x v="3"/>
    <s v="Daniel Tan"/>
    <x v="2"/>
    <s v="Electronics"/>
    <n v="3970.82"/>
    <n v="2976.72"/>
    <n v="994.1"/>
    <m/>
    <n v="5"/>
    <s v="Met"/>
    <x v="5"/>
    <n v="4"/>
    <x v="0"/>
  </r>
  <r>
    <s v="TXN-10877"/>
    <d v="2024-05-19T00:00:00"/>
    <x v="2"/>
    <s v="Amir Hakim"/>
    <x v="5"/>
    <s v="Furniture"/>
    <n v="1249.31"/>
    <n v="1014.37"/>
    <n v="234.94"/>
    <m/>
    <n v="2"/>
    <s v="Met"/>
    <x v="7"/>
    <n v="2"/>
    <x v="0"/>
  </r>
  <r>
    <s v="TXN-10104"/>
    <d v="2024-03-14T00:00:00"/>
    <x v="0"/>
    <s v="Wong Li Ting"/>
    <x v="0"/>
    <s v="Furniture"/>
    <n v="1197.1500000000001"/>
    <n v="873.43"/>
    <n v="323.72000000000003"/>
    <m/>
    <n v="4"/>
    <s v="Met"/>
    <x v="6"/>
    <n v="1"/>
    <x v="0"/>
  </r>
  <r>
    <s v="TXN-10817"/>
    <d v="2024-05-24T00:00:00"/>
    <x v="2"/>
    <s v="Hafiz Idris"/>
    <x v="2"/>
    <s v="Apparel"/>
    <n v="981.56"/>
    <n v="768.29"/>
    <n v="213.27"/>
    <n v="8"/>
    <n v="3"/>
    <s v="Met"/>
    <x v="7"/>
    <n v="2"/>
    <x v="1"/>
  </r>
  <r>
    <s v="TXN-10548"/>
    <d v="2024-11-12T00:00:00"/>
    <x v="3"/>
    <s v="Kevin Lim"/>
    <x v="5"/>
    <s v="Automotive Parts"/>
    <n v="1298.71"/>
    <n v="949.8"/>
    <n v="348.91"/>
    <m/>
    <n v="3"/>
    <s v="Met"/>
    <x v="8"/>
    <n v="4"/>
    <x v="0"/>
  </r>
  <r>
    <s v="TXN-10847"/>
    <d v="2024-09-01T00:00:00"/>
    <x v="2"/>
    <s v="Chong Kah Wei"/>
    <x v="0"/>
    <s v="Groceries"/>
    <n v="1753.76"/>
    <n v="1265.8499999999999"/>
    <n v="487.91"/>
    <m/>
    <n v="5"/>
    <s v="Missed"/>
    <x v="9"/>
    <n v="3"/>
    <x v="0"/>
  </r>
  <r>
    <s v="TXN-10336"/>
    <d v="2024-07-29T00:00:00"/>
    <x v="2"/>
    <s v="Uknown"/>
    <x v="1"/>
    <s v="Groceries"/>
    <n v="3253.99"/>
    <n v="2690.39"/>
    <n v="563.6"/>
    <m/>
    <n v="5"/>
    <s v="Missed"/>
    <x v="3"/>
    <n v="3"/>
    <x v="0"/>
  </r>
  <r>
    <s v="TXN-10544"/>
    <d v="2024-10-29T00:00:00"/>
    <x v="2"/>
    <s v="Jasmine Wong"/>
    <x v="0"/>
    <s v="Automotive Parts"/>
    <n v="2256.84"/>
    <n v="1653.63"/>
    <n v="603.21"/>
    <n v="8"/>
    <n v="1"/>
    <s v="Missed"/>
    <x v="5"/>
    <n v="4"/>
    <x v="1"/>
  </r>
  <r>
    <s v="TXN-10707"/>
    <d v="2024-03-28T00:00:00"/>
    <x v="0"/>
    <s v="Hock Seng"/>
    <x v="0"/>
    <s v="Groceries"/>
    <n v="2404.5"/>
    <n v="1476.18"/>
    <n v="928.32"/>
    <m/>
    <n v="3"/>
    <s v="Met"/>
    <x v="6"/>
    <n v="1"/>
    <x v="0"/>
  </r>
  <r>
    <s v="TXN-10061"/>
    <d v="2024-03-13T00:00:00"/>
    <x v="3"/>
    <s v="Siti Noraini"/>
    <x v="3"/>
    <s v="Automotive Parts"/>
    <n v="2676.41"/>
    <n v="1622.98"/>
    <n v="1053.43"/>
    <m/>
    <n v="4"/>
    <s v="Met"/>
    <x v="6"/>
    <n v="1"/>
    <x v="0"/>
  </r>
  <r>
    <s v="TXN-10983"/>
    <d v="2024-11-25T00:00:00"/>
    <x v="0"/>
    <s v="Roslan Ahmad"/>
    <x v="1"/>
    <s v="Automotive Parts"/>
    <n v="1534.49"/>
    <n v="1130.5"/>
    <n v="403.99"/>
    <m/>
    <n v="5"/>
    <s v="Missed"/>
    <x v="8"/>
    <n v="4"/>
    <x v="0"/>
  </r>
  <r>
    <s v="TXN-10044"/>
    <d v="2024-05-15T00:00:00"/>
    <x v="3"/>
    <s v="Farah Aziz"/>
    <x v="0"/>
    <s v="Groceries"/>
    <n v="2362.4299999999998"/>
    <n v="1392.1"/>
    <n v="970.33"/>
    <m/>
    <n v="4"/>
    <s v="Met"/>
    <x v="7"/>
    <n v="2"/>
    <x v="0"/>
  </r>
  <r>
    <s v="TXN-10437"/>
    <d v="2024-08-12T00:00:00"/>
    <x v="2"/>
    <s v="Hafiz Idris"/>
    <x v="6"/>
    <s v="Apparel"/>
    <n v="3398.28"/>
    <n v="2953.88"/>
    <n v="444.4"/>
    <n v="10"/>
    <n v="3"/>
    <s v="Missed"/>
    <x v="2"/>
    <n v="3"/>
    <x v="1"/>
  </r>
  <r>
    <s v="TXN-10741"/>
    <d v="2024-02-03T00:00:00"/>
    <x v="4"/>
    <s v="Aina Sofea"/>
    <x v="4"/>
    <s v="Automotive Parts"/>
    <n v="1604.4"/>
    <n v="1222.48"/>
    <n v="381.92"/>
    <m/>
    <n v="5"/>
    <s v="Met"/>
    <x v="10"/>
    <n v="1"/>
    <x v="0"/>
  </r>
  <r>
    <s v="TXN-10250"/>
    <d v="2024-06-18T00:00:00"/>
    <x v="3"/>
    <s v="Kevin Lim"/>
    <x v="1"/>
    <s v="Electronics"/>
    <n v="3635.49"/>
    <n v="2434.6999999999998"/>
    <n v="1200.79"/>
    <m/>
    <n v="4"/>
    <s v="Met"/>
    <x v="4"/>
    <n v="2"/>
    <x v="0"/>
  </r>
  <r>
    <s v="TXN-10996"/>
    <d v="2024-02-28T00:00:00"/>
    <x v="1"/>
    <s v="Lee Jia Hui"/>
    <x v="3"/>
    <s v="Electronics"/>
    <n v="636.37"/>
    <n v="357.71"/>
    <n v="278.66000000000003"/>
    <m/>
    <n v="3"/>
    <s v="Met"/>
    <x v="10"/>
    <n v="1"/>
    <x v="0"/>
  </r>
  <r>
    <s v="TXN-10358"/>
    <d v="2024-08-20T00:00:00"/>
    <x v="4"/>
    <s v="Goh Wen Xin"/>
    <x v="2"/>
    <s v="Apparel"/>
    <n v="295.11"/>
    <n v="216.94"/>
    <n v="78.17"/>
    <n v="3"/>
    <n v="4"/>
    <s v="Met"/>
    <x v="2"/>
    <n v="3"/>
    <x v="0"/>
  </r>
  <r>
    <s v="TXN-10323"/>
    <d v="2024-09-04T00:00:00"/>
    <x v="2"/>
    <s v="Priya Devi"/>
    <x v="0"/>
    <s v="Furniture"/>
    <n v="2603.6799999999998"/>
    <n v="2122.52"/>
    <n v="481.16"/>
    <n v="6"/>
    <n v="3"/>
    <s v="Met"/>
    <x v="9"/>
    <n v="3"/>
    <x v="1"/>
  </r>
  <r>
    <s v="TXN-10887"/>
    <d v="2024-06-20T00:00:00"/>
    <x v="4"/>
    <s v="Faisal Rashid"/>
    <x v="3"/>
    <s v="Electronics"/>
    <n v="1007.99"/>
    <n v="614.88"/>
    <n v="393.11"/>
    <m/>
    <n v="5"/>
    <s v="Met"/>
    <x v="4"/>
    <n v="2"/>
    <x v="0"/>
  </r>
  <r>
    <s v="TXN-10662"/>
    <d v="2024-12-29T00:00:00"/>
    <x v="0"/>
    <s v="Izzat Fikri"/>
    <x v="2"/>
    <s v="Groceries"/>
    <n v="746.69"/>
    <n v="488.74"/>
    <n v="257.95"/>
    <m/>
    <n v="4"/>
    <s v="Met"/>
    <x v="11"/>
    <n v="4"/>
    <x v="0"/>
  </r>
  <r>
    <s v="TXN-10138"/>
    <d v="2024-12-20T00:00:00"/>
    <x v="2"/>
    <s v="Hafiz Idris"/>
    <x v="0"/>
    <s v="Automotive Parts"/>
    <n v="3123.31"/>
    <n v="2513.0500000000002"/>
    <n v="610.26"/>
    <m/>
    <n v="4"/>
    <s v="Met"/>
    <x v="11"/>
    <n v="4"/>
    <x v="0"/>
  </r>
  <r>
    <s v="TXN-10315"/>
    <d v="2024-10-31T00:00:00"/>
    <x v="1"/>
    <s v="Uknown"/>
    <x v="1"/>
    <s v="Apparel"/>
    <n v="2067.15"/>
    <n v="1427.46"/>
    <n v="639.69000000000005"/>
    <m/>
    <n v="2"/>
    <s v="Met"/>
    <x v="5"/>
    <n v="4"/>
    <x v="0"/>
  </r>
  <r>
    <s v="TXN-10486"/>
    <d v="2024-10-18T00:00:00"/>
    <x v="1"/>
    <s v="Eddy Chong"/>
    <x v="0"/>
    <s v="Groceries"/>
    <n v="3095.45"/>
    <n v="2058.63"/>
    <n v="1036.82"/>
    <m/>
    <n v="5"/>
    <s v="Met"/>
    <x v="5"/>
    <n v="4"/>
    <x v="0"/>
  </r>
  <r>
    <s v="TXN-10588"/>
    <d v="2024-11-21T00:00:00"/>
    <x v="1"/>
    <s v="Michelle Tan"/>
    <x v="3"/>
    <s v="Electronics"/>
    <n v="2193.87"/>
    <n v="1427.73"/>
    <n v="766.14"/>
    <m/>
    <n v="3"/>
    <s v="Met"/>
    <x v="8"/>
    <n v="4"/>
    <x v="0"/>
  </r>
  <r>
    <s v="TXN-10874"/>
    <d v="2024-05-21T00:00:00"/>
    <x v="2"/>
    <s v="Zulkifli Hassan"/>
    <x v="5"/>
    <s v="Groceries"/>
    <n v="1471.24"/>
    <n v="1043.43"/>
    <n v="427.81"/>
    <n v="13"/>
    <n v="1"/>
    <s v="Met"/>
    <x v="7"/>
    <n v="2"/>
    <x v="1"/>
  </r>
  <r>
    <s v="TXN-10129"/>
    <d v="2024-10-14T00:00:00"/>
    <x v="2"/>
    <s v="Muthu Kannan"/>
    <x v="3"/>
    <s v="Automotive Parts"/>
    <n v="1532.47"/>
    <n v="1213.1500000000001"/>
    <n v="319.32"/>
    <m/>
    <n v="4"/>
    <s v="Missed"/>
    <x v="5"/>
    <n v="4"/>
    <x v="0"/>
  </r>
  <r>
    <s v="TXN-10546"/>
    <d v="2024-04-04T00:00:00"/>
    <x v="4"/>
    <s v="Uknown"/>
    <x v="2"/>
    <s v="Electronics"/>
    <n v="995.08"/>
    <n v="669.51"/>
    <n v="325.57"/>
    <m/>
    <n v="1"/>
    <s v="Met"/>
    <x v="0"/>
    <n v="2"/>
    <x v="0"/>
  </r>
  <r>
    <s v="TXN-10879"/>
    <d v="2024-08-09T00:00:00"/>
    <x v="3"/>
    <s v="Aisha Rahman"/>
    <x v="3"/>
    <s v="Furniture"/>
    <n v="666.05"/>
    <n v="445.12"/>
    <n v="220.93"/>
    <m/>
    <n v="4"/>
    <s v="Met"/>
    <x v="2"/>
    <n v="3"/>
    <x v="0"/>
  </r>
  <r>
    <s v="TXN-10982"/>
    <d v="2024-06-04T00:00:00"/>
    <x v="2"/>
    <s v="Chong Kah Wei"/>
    <x v="1"/>
    <s v="Electronics"/>
    <n v="1578.87"/>
    <n v="1319.49"/>
    <n v="259.38"/>
    <m/>
    <n v="4"/>
    <s v="Met"/>
    <x v="4"/>
    <n v="2"/>
    <x v="0"/>
  </r>
  <r>
    <s v="TXN-10255"/>
    <d v="2024-01-04T00:00:00"/>
    <x v="1"/>
    <s v="Michelle Tan"/>
    <x v="2"/>
    <s v="Electronics"/>
    <n v="1406.35"/>
    <n v="845.72"/>
    <n v="560.63"/>
    <m/>
    <n v="4"/>
    <s v="Met"/>
    <x v="1"/>
    <n v="1"/>
    <x v="0"/>
  </r>
  <r>
    <s v="TXN-10011"/>
    <d v="2024-05-22T00:00:00"/>
    <x v="4"/>
    <s v="Goh Wen Xin"/>
    <x v="5"/>
    <s v="Groceries"/>
    <n v="2391.08"/>
    <n v="1443.16"/>
    <n v="947.92"/>
    <m/>
    <n v="4"/>
    <s v="Met"/>
    <x v="7"/>
    <n v="2"/>
    <x v="0"/>
  </r>
  <r>
    <s v="TXN-10082"/>
    <d v="2024-06-22T00:00:00"/>
    <x v="4"/>
    <s v="Brandon Ong"/>
    <x v="3"/>
    <s v="Furniture"/>
    <n v="2424.31"/>
    <n v="1365.11"/>
    <n v="1059.2"/>
    <n v="7"/>
    <n v="2"/>
    <s v="Met"/>
    <x v="4"/>
    <n v="2"/>
    <x v="1"/>
  </r>
  <r>
    <s v="TXN-10599"/>
    <d v="2024-03-28T00:00:00"/>
    <x v="0"/>
    <s v="Tan Chee Keong"/>
    <x v="5"/>
    <s v="Electronics"/>
    <n v="2164.79"/>
    <n v="1510.57"/>
    <n v="654.22"/>
    <m/>
    <n v="5"/>
    <s v="Met"/>
    <x v="6"/>
    <n v="1"/>
    <x v="0"/>
  </r>
  <r>
    <s v="TXN-10807"/>
    <d v="2024-06-25T00:00:00"/>
    <x v="2"/>
    <s v="Zulkifli Hassan"/>
    <x v="3"/>
    <s v="Electronics"/>
    <n v="3752.52"/>
    <n v="3167.37"/>
    <n v="585.15"/>
    <n v="3"/>
    <n v="2"/>
    <s v="Met"/>
    <x v="4"/>
    <n v="2"/>
    <x v="1"/>
  </r>
  <r>
    <s v="TXN-10247"/>
    <d v="2024-10-16T00:00:00"/>
    <x v="2"/>
    <s v="Amir Hakim"/>
    <x v="3"/>
    <s v="Electronics"/>
    <n v="4928.3599999999997"/>
    <n v="4499.1099999999997"/>
    <n v="429.25"/>
    <m/>
    <n v="4"/>
    <s v="Missed"/>
    <x v="5"/>
    <n v="4"/>
    <x v="0"/>
  </r>
  <r>
    <s v="TXN-10590"/>
    <d v="2024-05-05T00:00:00"/>
    <x v="2"/>
    <s v="Chong Kah Wei"/>
    <x v="4"/>
    <s v="Electronics"/>
    <n v="2583.15"/>
    <n v="2266.87"/>
    <n v="316.27999999999997"/>
    <m/>
    <n v="4"/>
    <s v="Met"/>
    <x v="7"/>
    <n v="2"/>
    <x v="0"/>
  </r>
  <r>
    <s v="TXN-10997"/>
    <d v="2024-12-10T00:00:00"/>
    <x v="3"/>
    <s v="Siti Noraini"/>
    <x v="2"/>
    <s v="Apparel"/>
    <n v="448.94"/>
    <n v="259.57"/>
    <n v="189.37"/>
    <n v="2"/>
    <n v="3"/>
    <s v="Missed"/>
    <x v="11"/>
    <n v="4"/>
    <x v="1"/>
  </r>
  <r>
    <s v="TXN-10125"/>
    <d v="2024-10-02T00:00:00"/>
    <x v="4"/>
    <s v="Lim Pei Yi"/>
    <x v="5"/>
    <s v="Electronics"/>
    <n v="1898.81"/>
    <n v="1508.95"/>
    <n v="389.86"/>
    <m/>
    <n v="4"/>
    <s v="Met"/>
    <x v="5"/>
    <n v="4"/>
    <x v="0"/>
  </r>
  <r>
    <s v="TXN-10765"/>
    <d v="2024-07-16T00:00:00"/>
    <x v="1"/>
    <s v="Syafiq Azman"/>
    <x v="4"/>
    <s v="Furniture"/>
    <n v="497.15"/>
    <n v="392.26"/>
    <n v="104.89"/>
    <m/>
    <n v="4"/>
    <s v="Missed"/>
    <x v="3"/>
    <n v="3"/>
    <x v="0"/>
  </r>
  <r>
    <s v="TXN-10021"/>
    <d v="2024-03-31T00:00:00"/>
    <x v="2"/>
    <s v="Priya Devi"/>
    <x v="0"/>
    <s v="Automotive Parts"/>
    <n v="3102.74"/>
    <n v="2188.84"/>
    <n v="913.9"/>
    <m/>
    <n v="5"/>
    <s v="Met"/>
    <x v="6"/>
    <n v="1"/>
    <x v="0"/>
  </r>
  <r>
    <s v="TXN-10405"/>
    <d v="2024-10-28T00:00:00"/>
    <x v="0"/>
    <s v="Maya Devi"/>
    <x v="3"/>
    <s v="Electronics"/>
    <n v="484.68"/>
    <n v="351.35"/>
    <n v="133.33000000000001"/>
    <m/>
    <n v="5"/>
    <s v="Met"/>
    <x v="5"/>
    <n v="4"/>
    <x v="0"/>
  </r>
  <r>
    <s v="TXN-10130"/>
    <d v="2024-02-07T00:00:00"/>
    <x v="1"/>
    <s v="Vikram Singh"/>
    <x v="2"/>
    <s v="Electronics"/>
    <n v="780.35"/>
    <n v="577.79"/>
    <n v="202.56"/>
    <m/>
    <n v="4"/>
    <s v="Met"/>
    <x v="10"/>
    <n v="1"/>
    <x v="0"/>
  </r>
  <r>
    <s v="TXN-10200"/>
    <d v="2024-08-14T00:00:00"/>
    <x v="3"/>
    <s v="Daniel Tan"/>
    <x v="0"/>
    <s v="Electronics"/>
    <n v="3736.8"/>
    <n v="2736.08"/>
    <n v="1000.72"/>
    <m/>
    <n v="5"/>
    <s v="Met"/>
    <x v="2"/>
    <n v="3"/>
    <x v="0"/>
  </r>
  <r>
    <s v="TXN-10327"/>
    <d v="2024-12-23T00:00:00"/>
    <x v="2"/>
    <s v="Amir Hakim"/>
    <x v="5"/>
    <s v="Apparel"/>
    <n v="1718.72"/>
    <n v="1375.37"/>
    <n v="343.35"/>
    <m/>
    <n v="3"/>
    <s v="Met"/>
    <x v="11"/>
    <n v="4"/>
    <x v="0"/>
  </r>
  <r>
    <s v="TXN-10685"/>
    <d v="2024-01-09T00:00:00"/>
    <x v="2"/>
    <s v="Priya Devi"/>
    <x v="1"/>
    <s v="Groceries"/>
    <n v="1264.43"/>
    <n v="1072.03"/>
    <n v="192.4"/>
    <m/>
    <n v="5"/>
    <s v="Met"/>
    <x v="1"/>
    <n v="1"/>
    <x v="0"/>
  </r>
  <r>
    <s v="TXN-10857"/>
    <d v="2024-08-08T00:00:00"/>
    <x v="1"/>
    <s v="Syafiq Azman"/>
    <x v="1"/>
    <s v="Electronics"/>
    <n v="1269.1300000000001"/>
    <n v="889.55"/>
    <n v="379.58"/>
    <m/>
    <n v="4"/>
    <s v="Missed"/>
    <x v="2"/>
    <n v="3"/>
    <x v="0"/>
  </r>
  <r>
    <s v="TXN-10788"/>
    <d v="2024-02-05T00:00:00"/>
    <x v="0"/>
    <s v="Izzat Fikri"/>
    <x v="5"/>
    <s v="Automotive Parts"/>
    <n v="2975.46"/>
    <n v="2084.06"/>
    <n v="891.4"/>
    <m/>
    <n v="5"/>
    <s v="Missed"/>
    <x v="10"/>
    <n v="1"/>
    <x v="0"/>
  </r>
  <r>
    <s v="TXN-10013"/>
    <d v="2024-11-29T00:00:00"/>
    <x v="0"/>
    <s v="Tan Chee Keong"/>
    <x v="2"/>
    <s v="Electronics"/>
    <n v="5395.43"/>
    <n v="4274.5200000000004"/>
    <n v="1120.9100000000001"/>
    <n v="8"/>
    <n v="5"/>
    <s v="Missed"/>
    <x v="8"/>
    <n v="4"/>
    <x v="1"/>
  </r>
  <r>
    <s v="TXN-10767"/>
    <d v="2024-07-05T00:00:00"/>
    <x v="0"/>
    <s v="Tan Chee Keong"/>
    <x v="1"/>
    <s v="Electronics"/>
    <n v="3813.96"/>
    <n v="2450.69"/>
    <n v="1363.27"/>
    <m/>
    <n v="5"/>
    <s v="Missed"/>
    <x v="3"/>
    <n v="3"/>
    <x v="0"/>
  </r>
  <r>
    <s v="TXN-10985"/>
    <d v="2024-06-25T00:00:00"/>
    <x v="2"/>
    <s v="Amir Hakim"/>
    <x v="1"/>
    <s v="Groceries"/>
    <n v="231.16"/>
    <n v="170.21"/>
    <n v="60.95"/>
    <m/>
    <n v="5"/>
    <s v="Missed"/>
    <x v="4"/>
    <n v="2"/>
    <x v="0"/>
  </r>
  <r>
    <s v="TXN-10476"/>
    <d v="2024-09-10T00:00:00"/>
    <x v="4"/>
    <s v="Lim Pei Yi"/>
    <x v="2"/>
    <s v="Apparel"/>
    <n v="1737.09"/>
    <n v="1207.79"/>
    <n v="529.29999999999995"/>
    <n v="10"/>
    <n v="2"/>
    <s v="Met"/>
    <x v="9"/>
    <n v="3"/>
    <x v="1"/>
  </r>
  <r>
    <s v="TXN-10740"/>
    <d v="2024-11-05T00:00:00"/>
    <x v="2"/>
    <s v="Chong Kah Wei"/>
    <x v="5"/>
    <s v="Automotive Parts"/>
    <n v="1350.61"/>
    <n v="1241.18"/>
    <n v="109.43"/>
    <n v="11"/>
    <m/>
    <s v="Missed"/>
    <x v="8"/>
    <n v="4"/>
    <x v="1"/>
  </r>
  <r>
    <s v="TXN-10773"/>
    <d v="2024-04-04T00:00:00"/>
    <x v="0"/>
    <s v="Wong Li Ting"/>
    <x v="4"/>
    <s v="Groceries"/>
    <n v="1022.69"/>
    <n v="613.77"/>
    <n v="408.92"/>
    <m/>
    <n v="4"/>
    <s v="Met"/>
    <x v="0"/>
    <n v="2"/>
    <x v="0"/>
  </r>
  <r>
    <s v="TXN-10022"/>
    <d v="2024-08-23T00:00:00"/>
    <x v="2"/>
    <s v="Sarah Lee"/>
    <x v="0"/>
    <s v="Apparel"/>
    <n v="1321.36"/>
    <n v="1163.48"/>
    <n v="157.88"/>
    <n v="11"/>
    <n v="2"/>
    <s v="Missed"/>
    <x v="2"/>
    <n v="3"/>
    <x v="1"/>
  </r>
  <r>
    <s v="TXN-10552"/>
    <d v="2024-05-07T00:00:00"/>
    <x v="4"/>
    <s v="Nabilah Yusof"/>
    <x v="5"/>
    <s v="Groceries"/>
    <n v="3464.95"/>
    <n v="2087.61"/>
    <n v="1377.34"/>
    <n v="6"/>
    <n v="2"/>
    <s v="Met"/>
    <x v="7"/>
    <n v="2"/>
    <x v="1"/>
  </r>
  <r>
    <s v="TXN-10517"/>
    <d v="2024-07-13T00:00:00"/>
    <x v="4"/>
    <s v="Lim Pei Yi"/>
    <x v="0"/>
    <s v="Automotive Parts"/>
    <n v="2082.67"/>
    <n v="1146.3399999999999"/>
    <n v="936.33"/>
    <m/>
    <n v="4"/>
    <s v="Met"/>
    <x v="3"/>
    <n v="3"/>
    <x v="0"/>
  </r>
  <r>
    <s v="TXN-10763"/>
    <d v="2024-11-14T00:00:00"/>
    <x v="3"/>
    <s v="Siti Noraini"/>
    <x v="1"/>
    <s v="Furniture"/>
    <n v="1815.6"/>
    <n v="1083.0899999999999"/>
    <n v="732.51"/>
    <m/>
    <n v="4"/>
    <s v="Met"/>
    <x v="8"/>
    <n v="4"/>
    <x v="0"/>
  </r>
  <r>
    <s v="TXN-10321"/>
    <d v="2024-05-23T00:00:00"/>
    <x v="4"/>
    <s v="Chen Mei Ling"/>
    <x v="5"/>
    <s v="Automotive Parts"/>
    <n v="2966.48"/>
    <n v="1883.09"/>
    <n v="1083.3900000000001"/>
    <m/>
    <m/>
    <s v="Met"/>
    <x v="7"/>
    <n v="2"/>
    <x v="0"/>
  </r>
  <r>
    <s v="TXN-10673"/>
    <d v="2024-10-06T00:00:00"/>
    <x v="2"/>
    <s v="Sarah Lee"/>
    <x v="2"/>
    <s v="Apparel"/>
    <n v="1824.38"/>
    <n v="1662.16"/>
    <n v="162.22"/>
    <n v="8"/>
    <n v="3"/>
    <s v="Missed"/>
    <x v="5"/>
    <n v="4"/>
    <x v="1"/>
  </r>
  <r>
    <s v="TXN-10849"/>
    <d v="2024-04-25T00:00:00"/>
    <x v="0"/>
    <s v="Karthik Selvam"/>
    <x v="2"/>
    <s v="Apparel"/>
    <n v="2657.84"/>
    <n v="1546.42"/>
    <n v="1111.42"/>
    <m/>
    <n v="3"/>
    <s v="Met"/>
    <x v="0"/>
    <n v="2"/>
    <x v="0"/>
  </r>
  <r>
    <s v="TXN-10644"/>
    <d v="2024-01-20T00:00:00"/>
    <x v="4"/>
    <s v="Aina Sofea"/>
    <x v="4"/>
    <s v="Groceries"/>
    <n v="2212.08"/>
    <n v="1416.67"/>
    <n v="795.41"/>
    <m/>
    <n v="5"/>
    <s v="Missed"/>
    <x v="1"/>
    <n v="1"/>
    <x v="0"/>
  </r>
  <r>
    <s v="TXN-10184"/>
    <d v="2024-12-02T00:00:00"/>
    <x v="2"/>
    <s v="Hafiz Idris"/>
    <x v="0"/>
    <s v="Electronics"/>
    <n v="1376.25"/>
    <n v="1202.94"/>
    <n v="173.31"/>
    <m/>
    <n v="4"/>
    <s v="Met"/>
    <x v="11"/>
    <n v="4"/>
    <x v="0"/>
  </r>
  <r>
    <s v="TXN-10766"/>
    <d v="2024-08-13T00:00:00"/>
    <x v="2"/>
    <s v="Hafiz Idris"/>
    <x v="0"/>
    <s v="Automotive Parts"/>
    <n v="2320.4499999999998"/>
    <n v="1734.57"/>
    <n v="585.88"/>
    <n v="13"/>
    <n v="2"/>
    <s v="Met"/>
    <x v="2"/>
    <n v="3"/>
    <x v="1"/>
  </r>
  <r>
    <s v="TXN-10453"/>
    <d v="2024-11-01T00:00:00"/>
    <x v="3"/>
    <s v="Siti Noraini"/>
    <x v="5"/>
    <s v="Electronic"/>
    <n v="3006.11"/>
    <n v="2218.8000000000002"/>
    <n v="787.31"/>
    <m/>
    <n v="4"/>
    <s v="Met"/>
    <x v="8"/>
    <n v="4"/>
    <x v="0"/>
  </r>
  <r>
    <s v="TXN-10426"/>
    <d v="2024-08-20T00:00:00"/>
    <x v="4"/>
    <s v="Aina Sofea"/>
    <x v="4"/>
    <s v="Groceries"/>
    <n v="2687.14"/>
    <n v="1780.2"/>
    <n v="906.94"/>
    <m/>
    <n v="5"/>
    <s v="Met"/>
    <x v="2"/>
    <n v="3"/>
    <x v="0"/>
  </r>
  <r>
    <s v="TXN-10867"/>
    <d v="2024-05-22T00:00:00"/>
    <x v="1"/>
    <s v="Farhana Ismail"/>
    <x v="4"/>
    <s v="Groceries"/>
    <n v="1699.06"/>
    <n v="1127.73"/>
    <n v="571.33000000000004"/>
    <m/>
    <n v="5"/>
    <s v="Missed"/>
    <x v="7"/>
    <n v="2"/>
    <x v="0"/>
  </r>
  <r>
    <s v="TXN-10871"/>
    <d v="2024-05-31T00:00:00"/>
    <x v="2"/>
    <s v="Chong Kah Wei"/>
    <x v="1"/>
    <s v="Automotive Parts"/>
    <n v="1403.02"/>
    <n v="1090.32"/>
    <n v="312.7"/>
    <m/>
    <n v="3"/>
    <s v="Missed"/>
    <x v="7"/>
    <n v="2"/>
    <x v="0"/>
  </r>
  <r>
    <s v="TXN-10303"/>
    <d v="2024-07-20T00:00:00"/>
    <x v="4"/>
    <s v="Suresh Pillai"/>
    <x v="0"/>
    <s v="Electronics"/>
    <n v="3010.64"/>
    <n v="1943.52"/>
    <n v="1067.1199999999999"/>
    <m/>
    <n v="4"/>
    <s v="Met"/>
    <x v="3"/>
    <n v="3"/>
    <x v="0"/>
  </r>
  <r>
    <s v="TXN-10647"/>
    <d v="2024-11-03T00:00:00"/>
    <x v="4"/>
    <s v="Faisal Rashid"/>
    <x v="2"/>
    <s v="Apparrel"/>
    <n v="936.23"/>
    <n v="540.48"/>
    <n v="395.75"/>
    <n v="7"/>
    <n v="3"/>
    <s v="Met"/>
    <x v="8"/>
    <n v="4"/>
    <x v="1"/>
  </r>
  <r>
    <s v="TXN-10759"/>
    <d v="2024-07-11T00:00:00"/>
    <x v="1"/>
    <s v="Anand Raj"/>
    <x v="2"/>
    <s v="Apparel"/>
    <n v="2182.1999999999998"/>
    <n v="1675.05"/>
    <n v="507.15"/>
    <n v="3"/>
    <n v="1"/>
    <s v="Met"/>
    <x v="3"/>
    <n v="3"/>
    <x v="1"/>
  </r>
  <r>
    <s v="TXN-10097"/>
    <d v="2024-09-12T00:00:00"/>
    <x v="3"/>
    <s v="Daniel Tan"/>
    <x v="5"/>
    <s v="Apparel"/>
    <n v="1884.45"/>
    <n v="1466.83"/>
    <n v="417.62"/>
    <m/>
    <n v="4"/>
    <s v="Met"/>
    <x v="9"/>
    <n v="3"/>
    <x v="0"/>
  </r>
  <r>
    <s v="TXN-10959"/>
    <d v="2024-06-25T00:00:00"/>
    <x v="0"/>
    <s v="Noraini Yaakob"/>
    <x v="3"/>
    <s v="Groceries"/>
    <n v="1409.54"/>
    <n v="842.34"/>
    <n v="567.20000000000005"/>
    <n v="5"/>
    <n v="2"/>
    <s v="Met"/>
    <x v="4"/>
    <n v="2"/>
    <x v="1"/>
  </r>
  <r>
    <s v="TXN-10912"/>
    <d v="2024-08-05T00:00:00"/>
    <x v="2"/>
    <s v="Sarah Lee"/>
    <x v="5"/>
    <s v="Apparel"/>
    <n v="991.41"/>
    <n v="869.48"/>
    <n v="121.93"/>
    <m/>
    <n v="5"/>
    <s v="Met"/>
    <x v="2"/>
    <n v="3"/>
    <x v="0"/>
  </r>
  <r>
    <s v="TXN-10216"/>
    <d v="2024-06-18T00:00:00"/>
    <x v="2"/>
    <s v="Jasmine Wong"/>
    <x v="1"/>
    <s v="Automotive Parts"/>
    <n v="935.59"/>
    <n v="657.54"/>
    <n v="278.05"/>
    <m/>
    <n v="5"/>
    <s v="Missed"/>
    <x v="4"/>
    <n v="2"/>
    <x v="0"/>
  </r>
  <r>
    <s v="TXN-10342"/>
    <d v="2024-09-28T00:00:00"/>
    <x v="0"/>
    <s v="Noraini Yaakob"/>
    <x v="3"/>
    <s v="Electronics"/>
    <n v="3844.52"/>
    <n v="3005.67"/>
    <n v="838.85"/>
    <m/>
    <n v="4"/>
    <s v="Met"/>
    <x v="9"/>
    <n v="3"/>
    <x v="0"/>
  </r>
  <r>
    <s v="TXN-10047"/>
    <d v="2024-12-10T00:00:00"/>
    <x v="1"/>
    <s v="Lee Jia Hui"/>
    <x v="2"/>
    <s v="Automotive Parts"/>
    <n v="2901.76"/>
    <n v="2014"/>
    <n v="887.76"/>
    <m/>
    <n v="5"/>
    <s v="Missed"/>
    <x v="11"/>
    <n v="4"/>
    <x v="0"/>
  </r>
  <r>
    <s v="TXN-10024"/>
    <d v="2024-10-02T00:00:00"/>
    <x v="0"/>
    <s v="Tan Chee Keong"/>
    <x v="5"/>
    <s v="Groceries"/>
    <n v="2450.9699999999998"/>
    <n v="1924.17"/>
    <n v="526.79999999999995"/>
    <m/>
    <n v="5"/>
    <s v="Met"/>
    <x v="5"/>
    <n v="4"/>
    <x v="0"/>
  </r>
  <r>
    <s v="TXN-10690"/>
    <d v="2024-12-25T00:00:00"/>
    <x v="1"/>
    <s v="Syafiq Azman"/>
    <x v="2"/>
    <s v="Electronics"/>
    <n v="2366.8000000000002"/>
    <n v="1705.29"/>
    <n v="661.51"/>
    <n v="6"/>
    <n v="3"/>
    <s v="Missed"/>
    <x v="11"/>
    <n v="4"/>
    <x v="1"/>
  </r>
  <r>
    <s v="TXN-10564"/>
    <d v="2024-03-14T00:00:00"/>
    <x v="4"/>
    <s v="Chen Mei Ling"/>
    <x v="0"/>
    <s v="Furniture"/>
    <n v="2948.1"/>
    <n v="2027.92"/>
    <n v="920.18"/>
    <m/>
    <n v="2"/>
    <s v="Missed"/>
    <x v="6"/>
    <n v="1"/>
    <x v="0"/>
  </r>
  <r>
    <s v="TXN-10504"/>
    <d v="2024-12-18T00:00:00"/>
    <x v="1"/>
    <s v="Anand Raj"/>
    <x v="1"/>
    <s v="Groceries"/>
    <n v="1383.4"/>
    <n v="780.83"/>
    <n v="602.57000000000005"/>
    <m/>
    <n v="4"/>
    <s v="Missed"/>
    <x v="11"/>
    <n v="4"/>
    <x v="0"/>
  </r>
  <r>
    <s v="TXN-10168"/>
    <d v="2024-01-08T00:00:00"/>
    <x v="3"/>
    <s v="Aisha Rahman"/>
    <x v="5"/>
    <s v="Groceries"/>
    <n v="1028.32"/>
    <n v="575.80999999999995"/>
    <n v="452.51"/>
    <m/>
    <n v="4"/>
    <s v="Met"/>
    <x v="1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47C54-A20E-4407-B081-AFB46E9EF657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7:B33" firstHeaderRow="1" firstDataRow="1" firstDataCol="1" rowPageCount="1" colPageCount="1"/>
  <pivotFields count="15">
    <pivotField showAll="0"/>
    <pivotField numFmtId="14" showAll="0"/>
    <pivotField axis="axisRow" showAll="0" sortType="descending">
      <items count="6">
        <item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axis="axisPage" dataField="1" showAll="0">
      <items count="3">
        <item x="0"/>
        <item x="1"/>
        <item t="default"/>
      </items>
    </pivotField>
  </pivotFields>
  <rowFields count="1">
    <field x="2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pageFields count="1">
    <pageField fld="14" item="1" hier="-1"/>
  </pageFields>
  <dataFields count="1">
    <dataField name="Count of Customer_Complaint" fld="14" subtotal="count" baseField="2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7A47F-1D9B-45BD-9B73-EB4192CB24DE}" name="Avg Reso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3:G34" firstHeaderRow="1" firstDataRow="1" firstDataCol="0" rowPageCount="1" colPageCount="1"/>
  <pivotFields count="15">
    <pivotField showAll="0"/>
    <pivotField numFmtId="14"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axis="axisPage" showAll="0">
      <items count="3">
        <item x="0"/>
        <item x="1"/>
        <item t="default"/>
      </items>
    </pivotField>
  </pivotFields>
  <rowItems count="1">
    <i/>
  </rowItems>
  <colItems count="1">
    <i/>
  </colItems>
  <pageFields count="1">
    <pageField fld="14" item="1" hier="-1"/>
  </pageFields>
  <dataFields count="1">
    <dataField name="Average of Resolution_Days" fld="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BFCD5-67E6-4DA2-9A53-69182870BAE9}" name="Cust Comp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8:G29" firstHeaderRow="1" firstDataRow="1" firstDataCol="0" rowPageCount="1" colPageCount="1"/>
  <pivotFields count="15">
    <pivotField showAll="0"/>
    <pivotField numFmtId="14"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axis="axisPage" dataField="1" showAll="0">
      <items count="3">
        <item x="0"/>
        <item x="1"/>
        <item t="default"/>
      </items>
    </pivotField>
  </pivotFields>
  <rowItems count="1">
    <i/>
  </rowItems>
  <colItems count="1">
    <i/>
  </colItems>
  <pageFields count="1">
    <pageField fld="14" item="1" hier="-1"/>
  </pageFields>
  <dataFields count="1">
    <dataField name="Count of Customer_Complaint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43540-409F-4451-BA8C-C18E7C5D9D25}" name="Total Profi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8:E29" firstHeaderRow="1" firstDataRow="1" firstDataCol="0"/>
  <pivotFields count="15">
    <pivotField showAll="0"/>
    <pivotField numFmtId="14"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1324F-B801-49FF-A446-ABDDDB762C4C}" name="Avg Cust Rating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3:G24" firstHeaderRow="1" firstDataRow="1" firstDataCol="0"/>
  <pivotFields count="15">
    <pivotField showAll="0"/>
    <pivotField numFmtId="14"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Average of Customer_Rating" fld="10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E9D0A-3F54-40CC-A9A9-AEA95AB47BC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3:B21" firstHeaderRow="1" firstDataRow="1" firstDataCol="1"/>
  <pivotFields count="15">
    <pivotField showAll="0"/>
    <pivotField numFmtId="14"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axis="axisRow" showAll="0" sortType="ascending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showAll="0"/>
  </pivotFields>
  <rowFields count="1">
    <field x="4"/>
  </rowFields>
  <rowItems count="8">
    <i>
      <x v="14"/>
    </i>
    <i>
      <x v="4"/>
    </i>
    <i>
      <x v="10"/>
    </i>
    <i>
      <x v="6"/>
    </i>
    <i>
      <x/>
    </i>
    <i>
      <x v="3"/>
    </i>
    <i>
      <x v="8"/>
    </i>
    <i t="grand">
      <x/>
    </i>
  </rowItems>
  <colItems count="1">
    <i/>
  </colItems>
  <dataFields count="1">
    <dataField name="Sum of Profit" fld="8" baseField="0" baseItem="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480BF-3B64-401B-8917-47DE56CA4DC9}" name="Total 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3:E24" firstHeaderRow="1" firstDataRow="1" firstDataCol="0"/>
  <pivotFields count="15">
    <pivotField showAll="0"/>
    <pivotField numFmtId="14"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ACDF9-F710-4403-AB3C-729A144F779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9" firstHeaderRow="0" firstDataRow="1" firstDataCol="1"/>
  <pivotFields count="15">
    <pivotField showAll="0"/>
    <pivotField numFmtId="14" showAll="0"/>
    <pivotField axis="axisRow" showAll="0" sortType="descending">
      <items count="6">
        <item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showAll="0"/>
  </pivotFields>
  <rowFields count="1">
    <field x="2"/>
  </rowFields>
  <rowItems count="6">
    <i>
      <x v="1"/>
    </i>
    <i>
      <x v="3"/>
    </i>
    <i>
      <x v="2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7AD6B-BDBD-408B-ADD7-1EBE7976565D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3:G16" firstHeaderRow="0" firstDataRow="1" firstDataCol="1"/>
  <pivotFields count="15">
    <pivotField showAll="0"/>
    <pivotField numFmtId="14" showAll="0"/>
    <pivotField showAll="0">
      <items count="6">
        <item x="4"/>
        <item x="2"/>
        <item x="1"/>
        <item x="3"/>
        <item x="0"/>
        <item t="default"/>
      </items>
    </pivotField>
    <pivotField showAll="0"/>
    <pivotField showAll="0">
      <items count="16">
        <item x="3"/>
        <item m="1" x="14"/>
        <item m="1" x="10"/>
        <item x="0"/>
        <item x="4"/>
        <item m="1" x="9"/>
        <item x="2"/>
        <item m="1" x="13"/>
        <item x="1"/>
        <item m="1" x="12"/>
        <item x="5"/>
        <item m="1" x="11"/>
        <item m="1" x="8"/>
        <item m="1" x="7"/>
        <item x="6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13">
        <item x="1"/>
        <item x="10"/>
        <item x="6"/>
        <item x="0"/>
        <item x="7"/>
        <item x="4"/>
        <item x="3"/>
        <item x="2"/>
        <item x="9"/>
        <item x="5"/>
        <item x="8"/>
        <item x="11"/>
        <item t="default"/>
      </items>
    </pivotField>
    <pivotField showAll="0"/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chartFormats count="2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9EFB24-7B8F-4998-8F4C-E0139D52DBF9}" autoFormatId="16" applyNumberFormats="0" applyBorderFormats="0" applyFontFormats="0" applyPatternFormats="0" applyAlignmentFormats="0" applyWidthHeightFormats="0">
  <queryTableRefresh nextId="22">
    <queryTableFields count="15">
      <queryTableField id="1" name="Transaction_ID" tableColumnId="1"/>
      <queryTableField id="2" name="Date" tableColumnId="2"/>
      <queryTableField id="3" name="Department" tableColumnId="3"/>
      <queryTableField id="4" name="Employee_Name" tableColumnId="4"/>
      <queryTableField id="5" name="Region" tableColumnId="5"/>
      <queryTableField id="6" name="Product_Category" tableColumnId="6"/>
      <queryTableField id="7" name="Sales" tableColumnId="7"/>
      <queryTableField id="8" name="Cost" tableColumnId="8"/>
      <queryTableField id="9" name="Profit" tableColumnId="9"/>
      <queryTableField id="11" name="Resolution_Days" tableColumnId="11"/>
      <queryTableField id="12" name="Customer_Rating" tableColumnId="12"/>
      <queryTableField id="13" name="Target_Status" tableColumnId="13"/>
      <queryTableField id="14" name="Month Name" tableColumnId="14"/>
      <queryTableField id="15" name="Quarter" tableColumnId="15"/>
      <queryTableField id="10" name="Customer_Complai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891B45-4E30-4328-989E-A9A36F061123}" name="Table1_1" displayName="Table1_1" ref="A1:O1001" tableType="queryTable" totalsRowShown="0">
  <autoFilter ref="A1:O1001" xr:uid="{F6891B45-4E30-4328-989E-A9A36F061123}"/>
  <tableColumns count="15">
    <tableColumn id="1" xr3:uid="{FB276425-A53A-4A97-B870-9EAEC5015DEC}" uniqueName="1" name="Transaction_ID" queryTableFieldId="1" dataDxfId="27"/>
    <tableColumn id="2" xr3:uid="{5820EA67-7263-4A9A-B25D-165D7D012760}" uniqueName="2" name="Date" queryTableFieldId="2" dataDxfId="26"/>
    <tableColumn id="3" xr3:uid="{9C1A109B-0947-4FE6-A88F-7ED1D20C1A3B}" uniqueName="3" name="Department" queryTableFieldId="3" dataDxfId="25"/>
    <tableColumn id="4" xr3:uid="{8D3CF121-0A9F-4DE8-AF6F-EB3A01304323}" uniqueName="4" name="Employee_Name" queryTableFieldId="4" dataDxfId="24"/>
    <tableColumn id="5" xr3:uid="{633AE996-AF13-4C61-AD93-DF7D53DC2AF5}" uniqueName="5" name="Region" queryTableFieldId="5" dataDxfId="23"/>
    <tableColumn id="6" xr3:uid="{002DCD78-7724-4230-AEA3-A2541CD87496}" uniqueName="6" name="Product_Category" queryTableFieldId="6" dataDxfId="22"/>
    <tableColumn id="7" xr3:uid="{9DB1325B-0552-4385-9DC7-E3C5DB0EEC66}" uniqueName="7" name="Sales" queryTableFieldId="7"/>
    <tableColumn id="8" xr3:uid="{1BD38316-4D92-4059-A71D-F64F15E54683}" uniqueName="8" name="Cost" queryTableFieldId="8"/>
    <tableColumn id="9" xr3:uid="{F13AC7D9-4808-4234-B6A3-F857EDA57CAA}" uniqueName="9" name="Profit" queryTableFieldId="9"/>
    <tableColumn id="11" xr3:uid="{6D13124B-4679-4355-993D-7D028F316D3E}" uniqueName="11" name="Resolution_Days" queryTableFieldId="11"/>
    <tableColumn id="12" xr3:uid="{E53C585C-E25B-47BD-8400-07D32FCD81A6}" uniqueName="12" name="Customer_Rating" queryTableFieldId="12"/>
    <tableColumn id="13" xr3:uid="{E8B1F9C9-F9FB-4528-832C-7307925A314D}" uniqueName="13" name="Target_Status" queryTableFieldId="13" dataDxfId="21"/>
    <tableColumn id="14" xr3:uid="{F15B5BF4-8312-4931-9F67-28533F134116}" uniqueName="14" name="Month Name" queryTableFieldId="14" dataDxfId="20"/>
    <tableColumn id="15" xr3:uid="{5292AB9B-3981-4C3F-A861-04ABEB1A52D2}" uniqueName="15" name="Quarter" queryTableFieldId="15"/>
    <tableColumn id="10" xr3:uid="{B2D7E4D7-E435-4382-8A44-654D4AE55208}" uniqueName="10" name="Customer_Complaint" queryTableFieldId="10" dataDxfId="19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744E1-337D-4B50-9646-FA5EC8B29E5B}" name="Table1" displayName="Table1" ref="A1:N1046" totalsRowShown="0" headerRowDxfId="18" dataDxfId="17">
  <autoFilter ref="A1:N1046" xr:uid="{01A744E1-337D-4B50-9646-FA5EC8B29E5B}"/>
  <tableColumns count="14">
    <tableColumn id="1" xr3:uid="{BC2C8BCE-7A73-4DBD-BD7C-B432AE2DF4E1}" name="Transaction_ID" dataDxfId="16"/>
    <tableColumn id="2" xr3:uid="{FE83B43B-CF15-4462-A51C-14FB3DD2949C}" name="Date" dataDxfId="15"/>
    <tableColumn id="3" xr3:uid="{9F932579-E6D8-4A4B-8364-E37E7C71F498}" name="Month" dataDxfId="14"/>
    <tableColumn id="4" xr3:uid="{51C9CF00-244E-4A66-AE9E-303C4791BE71}" name="Department" dataDxfId="13"/>
    <tableColumn id="5" xr3:uid="{363CB3EF-9FFE-4CC9-B752-B3F10F37CE37}" name="Employee_Name" dataDxfId="12"/>
    <tableColumn id="6" xr3:uid="{0358FC29-2430-4636-8BD5-B0DE47117A84}" name="Region" dataDxfId="11"/>
    <tableColumn id="7" xr3:uid="{564A023C-B35B-4D88-B879-5248E58C5EFC}" name="Product_Category" dataDxfId="10"/>
    <tableColumn id="8" xr3:uid="{80FEB9AA-FA65-4480-ACE1-2C4CD93E800C}" name="Sales" dataDxfId="9"/>
    <tableColumn id="9" xr3:uid="{741D69B9-5300-434A-AA96-AAC0CC97B621}" name="Cost" dataDxfId="8"/>
    <tableColumn id="10" xr3:uid="{74E3910B-1769-4DBA-BF94-593DA9C42BA9}" name="Profit" dataDxfId="7"/>
    <tableColumn id="11" xr3:uid="{D917215B-DF0E-44F1-B5E0-9E77471B5253}" name="Customer_Complaint" dataDxfId="6"/>
    <tableColumn id="12" xr3:uid="{1D90F66F-333B-483D-8512-919D13BE762B}" name="Resolution_Days" dataDxfId="5"/>
    <tableColumn id="13" xr3:uid="{90FBB5BD-19B5-4CEC-A99E-485F4603A216}" name="Customer_Rating" dataDxfId="4"/>
    <tableColumn id="14" xr3:uid="{120D5862-0691-4C00-BCAA-9D74BE6D39F3}" name="Target_Statu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E5F8-25F8-44D5-B88A-38918F7BE728}">
  <sheetPr codeName="Sheet1">
    <tabColor rgb="FFFFFF00"/>
  </sheetPr>
  <dimension ref="A1:AD75"/>
  <sheetViews>
    <sheetView showGridLines="0" tabSelected="1" zoomScale="70" zoomScaleNormal="70" workbookViewId="0">
      <selection activeCell="AE38" sqref="AE38"/>
    </sheetView>
  </sheetViews>
  <sheetFormatPr defaultRowHeight="13.8" x14ac:dyDescent="0.25"/>
  <cols>
    <col min="1" max="1" width="9.44140625" style="8" customWidth="1"/>
    <col min="2" max="2" width="9.5546875" style="8" customWidth="1"/>
    <col min="3" max="5" width="8.88671875" style="8"/>
    <col min="6" max="6" width="9.5546875" style="8" bestFit="1" customWidth="1"/>
    <col min="7" max="9" width="8.88671875" style="8"/>
    <col min="10" max="10" width="9.77734375" style="8" customWidth="1"/>
    <col min="11" max="25" width="8.88671875" style="8"/>
    <col min="26" max="26" width="4.21875" style="8" customWidth="1"/>
    <col min="27" max="16384" width="8.88671875" style="8"/>
  </cols>
  <sheetData>
    <row r="1" spans="1:30" ht="35.4" customHeight="1" x14ac:dyDescent="0.25">
      <c r="B1" s="20" t="s">
        <v>1713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19"/>
    </row>
    <row r="2" spans="1:30" ht="13.8" customHeight="1" x14ac:dyDescent="0.25">
      <c r="B2" s="21" t="s">
        <v>1714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9"/>
    </row>
    <row r="3" spans="1:30" ht="13.8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30" ht="13.8" customHeight="1" x14ac:dyDescent="0.25">
      <c r="B4" s="22"/>
      <c r="C4" s="22"/>
      <c r="D4" s="9"/>
      <c r="E4" s="9"/>
      <c r="F4" s="9"/>
      <c r="G4" s="9"/>
      <c r="H4" s="9"/>
      <c r="I4" s="9"/>
      <c r="J4" s="9"/>
      <c r="K4" s="22"/>
      <c r="L4" s="22"/>
      <c r="M4" s="9"/>
      <c r="N4" s="9"/>
      <c r="O4" s="9"/>
      <c r="P4" s="9"/>
      <c r="Q4" s="9"/>
      <c r="R4" s="22"/>
      <c r="S4" s="22"/>
    </row>
    <row r="5" spans="1:30" ht="13.8" customHeight="1" x14ac:dyDescent="0.3">
      <c r="A5"/>
      <c r="B5" s="33" t="s">
        <v>1717</v>
      </c>
      <c r="C5" s="33"/>
      <c r="D5" s="33"/>
      <c r="E5" s="33"/>
      <c r="F5" s="33"/>
      <c r="G5" s="33"/>
      <c r="H5"/>
      <c r="I5"/>
      <c r="J5" s="33" t="s">
        <v>1718</v>
      </c>
      <c r="K5" s="33"/>
      <c r="L5" s="33"/>
      <c r="M5" s="33"/>
      <c r="N5"/>
      <c r="O5"/>
      <c r="P5"/>
      <c r="Q5" s="33" t="s">
        <v>1719</v>
      </c>
      <c r="R5" s="33"/>
      <c r="S5" s="33"/>
      <c r="T5"/>
      <c r="U5"/>
      <c r="V5"/>
      <c r="W5"/>
      <c r="X5"/>
      <c r="Y5"/>
      <c r="Z5"/>
      <c r="AA5"/>
    </row>
    <row r="6" spans="1:30" ht="13.8" customHeight="1" x14ac:dyDescent="0.3">
      <c r="A6"/>
      <c r="B6" s="14" t="s">
        <v>25</v>
      </c>
      <c r="C6" s="14" t="s">
        <v>124</v>
      </c>
      <c r="D6" s="14" t="s">
        <v>76</v>
      </c>
      <c r="E6" s="14" t="s">
        <v>16</v>
      </c>
      <c r="F6" s="14" t="s">
        <v>104</v>
      </c>
      <c r="G6" s="14" t="s">
        <v>64</v>
      </c>
      <c r="H6"/>
      <c r="I6"/>
      <c r="J6" s="14" t="s">
        <v>40</v>
      </c>
      <c r="K6" s="14" t="s">
        <v>19</v>
      </c>
      <c r="L6" s="14" t="s">
        <v>84</v>
      </c>
      <c r="M6" s="14" t="s">
        <v>35</v>
      </c>
      <c r="N6"/>
      <c r="O6"/>
      <c r="P6"/>
      <c r="Q6" s="14" t="s">
        <v>59</v>
      </c>
      <c r="R6" s="14" t="s">
        <v>42</v>
      </c>
      <c r="S6" s="14" t="s">
        <v>33</v>
      </c>
      <c r="T6"/>
      <c r="U6"/>
      <c r="V6"/>
      <c r="W6"/>
      <c r="X6"/>
      <c r="Y6"/>
      <c r="Z6"/>
      <c r="AA6"/>
    </row>
    <row r="7" spans="1:30" ht="13.8" customHeight="1" x14ac:dyDescent="0.3">
      <c r="A7"/>
      <c r="B7" s="14" t="s">
        <v>54</v>
      </c>
      <c r="C7" s="14" t="s">
        <v>32</v>
      </c>
      <c r="D7" s="14" t="s">
        <v>115</v>
      </c>
      <c r="E7" s="14" t="s">
        <v>68</v>
      </c>
      <c r="F7" s="14" t="s">
        <v>111</v>
      </c>
      <c r="G7" s="14" t="s">
        <v>179</v>
      </c>
      <c r="H7"/>
      <c r="I7"/>
      <c r="J7" s="14" t="s">
        <v>27</v>
      </c>
      <c r="K7" s="14" t="s">
        <v>87</v>
      </c>
      <c r="L7" s="14" t="s">
        <v>1716</v>
      </c>
      <c r="M7"/>
      <c r="N7"/>
      <c r="O7"/>
      <c r="P7"/>
      <c r="Q7" s="14" t="s">
        <v>7</v>
      </c>
      <c r="R7" s="14" t="s">
        <v>17</v>
      </c>
      <c r="S7"/>
      <c r="T7"/>
      <c r="U7"/>
      <c r="V7"/>
      <c r="W7"/>
      <c r="X7"/>
      <c r="Y7"/>
      <c r="Z7"/>
      <c r="AA7"/>
    </row>
    <row r="8" spans="1:30" ht="13.8" customHeight="1" x14ac:dyDescent="0.3">
      <c r="A8" s="15" t="s">
        <v>1725</v>
      </c>
      <c r="B8" s="16" t="s">
        <v>1726</v>
      </c>
      <c r="C8"/>
      <c r="D8"/>
      <c r="E8"/>
      <c r="F8"/>
      <c r="G8"/>
      <c r="H8"/>
      <c r="I8"/>
      <c r="J8" s="16" t="s">
        <v>1726</v>
      </c>
      <c r="K8"/>
      <c r="L8"/>
      <c r="M8"/>
      <c r="N8"/>
      <c r="O8"/>
      <c r="P8"/>
      <c r="Q8" s="16" t="s">
        <v>1726</v>
      </c>
      <c r="R8"/>
      <c r="S8"/>
      <c r="T8"/>
      <c r="U8"/>
      <c r="V8"/>
      <c r="W8"/>
      <c r="X8"/>
      <c r="Y8"/>
      <c r="Z8"/>
      <c r="AA8"/>
    </row>
    <row r="9" spans="1:30" ht="13.8" customHeigh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1:30" ht="14.4" x14ac:dyDescent="0.3">
      <c r="A10"/>
      <c r="B10" s="26" t="s">
        <v>1727</v>
      </c>
      <c r="C10" s="26"/>
      <c r="D10" s="26"/>
      <c r="E10"/>
      <c r="F10" s="23" t="s">
        <v>1728</v>
      </c>
      <c r="G10" s="23"/>
      <c r="H10" s="23"/>
      <c r="I10"/>
      <c r="J10" s="34" t="s">
        <v>1729</v>
      </c>
      <c r="K10" s="34"/>
      <c r="L10" s="34"/>
      <c r="M10"/>
      <c r="N10" s="35" t="s">
        <v>1730</v>
      </c>
      <c r="O10" s="35"/>
      <c r="P10" s="35"/>
      <c r="Q10"/>
      <c r="R10" s="36" t="s">
        <v>1731</v>
      </c>
      <c r="S10" s="36"/>
      <c r="T10" s="36"/>
      <c r="U10"/>
      <c r="V10" s="37" t="s">
        <v>1732</v>
      </c>
      <c r="W10" s="37"/>
      <c r="X10" s="37"/>
      <c r="Y10"/>
      <c r="Z10"/>
      <c r="AA10"/>
    </row>
    <row r="11" spans="1:30" ht="24.6" x14ac:dyDescent="0.3">
      <c r="A11"/>
      <c r="B11" s="38">
        <f>SUMPRODUCT(
((($B$8="All")+(Operation_Data!M2:M1001=$B$8))&gt;0)*
((($J$8="All")+(Operation_Data!E2:E1001=$J$8))&gt;0)*
((($Q$8="All")+(Operation_Data!C2:C1001=$Q$8))&gt;0)*Operation_Data!G2:G1001)</f>
        <v>1946103.7400000007</v>
      </c>
      <c r="C11" s="38"/>
      <c r="D11" s="38"/>
      <c r="E11"/>
      <c r="F11" s="39">
        <f>SUMPRODUCT(
((($B$8="All")+(Operation_Data!M2:M1001=$B$8))&gt;0)*
((($J$8="All")+(Operation_Data!E2:E1001=$J$8))&gt;0)*
((($Q$8="All")+(Operation_Data!C2:C1001=$Q$8))&gt;0)*Operation_Data!I2:I1001
)</f>
        <v>578969.57000000088</v>
      </c>
      <c r="G11" s="39"/>
      <c r="H11" s="39"/>
      <c r="I11"/>
      <c r="J11" s="40">
        <f>IFERROR(F11/B11,0)</f>
        <v>0.29750190501149781</v>
      </c>
      <c r="K11" s="40"/>
      <c r="L11" s="40"/>
      <c r="M11"/>
      <c r="N11" s="41">
        <f>IFERROR(
SUMPRODUCT(
((($B$8="All")+(Operation_Data!M2:M1001=$B$8))&gt;0)*
((($J$8="All")+(Operation_Data!E2:E1001=$J$8))&gt;0)*
((($Q$8="All")+(Operation_Data!C2:C1001=$Q$8))&gt;0)*
(Operation_Data!K2:K1001)
)
/
SUMPRODUCT(
((($B$8="All")+(Operation_Data!M2:M1001=$B$8))&gt;0)*
((($J$8="All")+(Operation_Data!E2:E1001=$J$8))&gt;0)*
((($Q$8="All")+(Operation_Data!C2:C1001=$Q$8))&gt;0)*
(Operation_Data!K2:K1001&lt;&gt;"")
),
0
)</f>
        <v>3.6994923857868018</v>
      </c>
      <c r="O11" s="41"/>
      <c r="P11" s="41"/>
      <c r="Q11"/>
      <c r="R11" s="42">
        <f>SUMPRODUCT(
((($B$8="All")+(Operation_Data!M2:M1001=$B$8))&gt;0)*
((($J$8="All")+(Operation_Data!E2:E1001=$J$8))&gt;0)*
((($Q$8="All")+(Operation_Data!C2:C1001=$Q$8))&gt;0)*
(Operation_Data!O2:O1001="Yes")
)</f>
        <v>241</v>
      </c>
      <c r="S11" s="42"/>
      <c r="T11" s="42"/>
      <c r="U11"/>
      <c r="V11" s="47">
        <f>IFERROR(
SUMPRODUCT(
((($B$8="All")+(Operation_Data!M2:M1001=$B$8))&gt;0)*
((($J$8="All")+(Operation_Data!E2:E1001=$J$8))&gt;0)*
((($Q$8="All")+(Operation_Data!C2:C1001=$Q$8))&gt;0)*
(Operation_Data!J2:J1001)
)
/
SUMPRODUCT(
((($B$8="All")+(Operation_Data!M2:M1001=$B$8))&gt;0)*
((($J$8="All")+(Operation_Data!E2:E1001=$J$8))&gt;0)*
((($Q$8="All")+(Operation_Data!C2:C1001=$Q$8))&gt;0)*
(Operation_Data!J2:J1001&lt;&gt;"")
),
0
)</f>
        <v>6.5021645021645025</v>
      </c>
      <c r="W11" s="47"/>
      <c r="X11" s="47"/>
      <c r="Y11"/>
      <c r="Z11"/>
      <c r="AA11"/>
    </row>
    <row r="12" spans="1:30" ht="13.8" customHeight="1" x14ac:dyDescent="0.3">
      <c r="A12"/>
      <c r="B12" s="25" t="s">
        <v>1733</v>
      </c>
      <c r="C12" s="25"/>
      <c r="D12" s="25"/>
      <c r="E12"/>
      <c r="F12" s="25" t="s">
        <v>1734</v>
      </c>
      <c r="G12" s="25"/>
      <c r="H12" s="25"/>
      <c r="I12"/>
      <c r="J12" s="25" t="s">
        <v>1735</v>
      </c>
      <c r="K12" s="25"/>
      <c r="L12" s="25"/>
      <c r="M12"/>
      <c r="N12" s="25" t="s">
        <v>1736</v>
      </c>
      <c r="O12" s="25"/>
      <c r="P12" s="25"/>
      <c r="Q12"/>
      <c r="R12" s="25" t="s">
        <v>1737</v>
      </c>
      <c r="S12" s="25"/>
      <c r="T12" s="25"/>
      <c r="U12"/>
      <c r="V12" s="25" t="s">
        <v>1738</v>
      </c>
      <c r="W12" s="25"/>
      <c r="X12" s="25"/>
      <c r="Y12"/>
      <c r="Z12"/>
      <c r="AA12"/>
    </row>
    <row r="13" spans="1:30" ht="14.4" x14ac:dyDescent="0.3">
      <c r="A13"/>
      <c r="B13" s="24" t="s">
        <v>1739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0" ht="13.8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6" spans="1:30" ht="13.8" customHeight="1" x14ac:dyDescent="0.25">
      <c r="K16" s="32" t="s">
        <v>1724</v>
      </c>
      <c r="L16" s="32"/>
      <c r="M16" s="32"/>
      <c r="N16" s="32"/>
      <c r="O16" s="13"/>
      <c r="P16" s="13"/>
      <c r="AA16" s="28" t="s">
        <v>1724</v>
      </c>
      <c r="AB16" s="28"/>
      <c r="AC16" s="28"/>
      <c r="AD16" s="28"/>
    </row>
    <row r="17" spans="11:30" ht="13.8" customHeight="1" x14ac:dyDescent="0.25">
      <c r="K17" s="27" t="s">
        <v>1741</v>
      </c>
      <c r="L17" s="27"/>
      <c r="M17" s="27"/>
      <c r="N17" s="27"/>
      <c r="O17" s="17"/>
      <c r="P17" s="17"/>
      <c r="AA17" s="29" t="s">
        <v>1742</v>
      </c>
      <c r="AB17" s="29"/>
      <c r="AC17" s="29"/>
      <c r="AD17" s="29"/>
    </row>
    <row r="18" spans="11:30" x14ac:dyDescent="0.25">
      <c r="K18" s="27"/>
      <c r="L18" s="27"/>
      <c r="M18" s="27"/>
      <c r="N18" s="27"/>
      <c r="O18" s="17"/>
      <c r="P18" s="17"/>
      <c r="AA18" s="29"/>
      <c r="AB18" s="29"/>
      <c r="AC18" s="29"/>
      <c r="AD18" s="29"/>
    </row>
    <row r="19" spans="11:30" x14ac:dyDescent="0.25">
      <c r="K19" s="27"/>
      <c r="L19" s="27"/>
      <c r="M19" s="27"/>
      <c r="N19" s="27"/>
      <c r="O19" s="17"/>
      <c r="P19" s="17"/>
      <c r="AA19" s="29"/>
      <c r="AB19" s="29"/>
      <c r="AC19" s="29"/>
      <c r="AD19" s="29"/>
    </row>
    <row r="20" spans="11:30" x14ac:dyDescent="0.25">
      <c r="K20" s="27"/>
      <c r="L20" s="27"/>
      <c r="M20" s="27"/>
      <c r="N20" s="27"/>
      <c r="O20" s="17"/>
      <c r="P20" s="17"/>
      <c r="AA20" s="29"/>
      <c r="AB20" s="29"/>
      <c r="AC20" s="29"/>
      <c r="AD20" s="29"/>
    </row>
    <row r="21" spans="11:30" x14ac:dyDescent="0.25">
      <c r="K21" s="27"/>
      <c r="L21" s="27"/>
      <c r="M21" s="27"/>
      <c r="N21" s="27"/>
      <c r="O21" s="17"/>
      <c r="P21" s="17"/>
      <c r="AA21" s="29"/>
      <c r="AB21" s="29"/>
      <c r="AC21" s="29"/>
      <c r="AD21" s="29"/>
    </row>
    <row r="22" spans="11:30" x14ac:dyDescent="0.25">
      <c r="K22" s="27"/>
      <c r="L22" s="27"/>
      <c r="M22" s="27"/>
      <c r="N22" s="27"/>
      <c r="O22" s="17"/>
      <c r="P22" s="17"/>
      <c r="AA22" s="29"/>
      <c r="AB22" s="29"/>
      <c r="AC22" s="29"/>
      <c r="AD22" s="29"/>
    </row>
    <row r="23" spans="11:30" x14ac:dyDescent="0.25">
      <c r="K23" s="27"/>
      <c r="L23" s="27"/>
      <c r="M23" s="27"/>
      <c r="N23" s="27"/>
      <c r="O23" s="17"/>
      <c r="P23" s="17"/>
      <c r="AA23" s="29"/>
      <c r="AB23" s="29"/>
      <c r="AC23" s="29"/>
      <c r="AD23" s="29"/>
    </row>
    <row r="24" spans="11:30" x14ac:dyDescent="0.25">
      <c r="K24" s="27"/>
      <c r="L24" s="27"/>
      <c r="M24" s="27"/>
      <c r="N24" s="27"/>
      <c r="O24" s="17"/>
      <c r="P24" s="17"/>
      <c r="AA24" s="29"/>
      <c r="AB24" s="29"/>
      <c r="AC24" s="29"/>
      <c r="AD24" s="29"/>
    </row>
    <row r="25" spans="11:30" x14ac:dyDescent="0.25">
      <c r="K25" s="27"/>
      <c r="L25" s="27"/>
      <c r="M25" s="27"/>
      <c r="N25" s="27"/>
      <c r="O25" s="17"/>
      <c r="P25" s="17"/>
      <c r="AA25" s="29"/>
      <c r="AB25" s="29"/>
      <c r="AC25" s="29"/>
      <c r="AD25" s="29"/>
    </row>
    <row r="26" spans="11:30" x14ac:dyDescent="0.25">
      <c r="K26" s="27"/>
      <c r="L26" s="27"/>
      <c r="M26" s="27"/>
      <c r="N26" s="27"/>
      <c r="O26" s="17"/>
      <c r="P26" s="17"/>
      <c r="AA26" s="29"/>
      <c r="AB26" s="29"/>
      <c r="AC26" s="29"/>
      <c r="AD26" s="29"/>
    </row>
    <row r="27" spans="11:30" x14ac:dyDescent="0.25">
      <c r="K27" s="27"/>
      <c r="L27" s="27"/>
      <c r="M27" s="27"/>
      <c r="N27" s="27"/>
      <c r="O27" s="17"/>
      <c r="P27" s="17"/>
      <c r="AA27" s="29"/>
      <c r="AB27" s="29"/>
      <c r="AC27" s="29"/>
      <c r="AD27" s="29"/>
    </row>
    <row r="28" spans="11:30" x14ac:dyDescent="0.25">
      <c r="K28" s="27"/>
      <c r="L28" s="27"/>
      <c r="M28" s="27"/>
      <c r="N28" s="27"/>
      <c r="O28" s="17"/>
      <c r="P28" s="17"/>
      <c r="AA28" s="29"/>
      <c r="AB28" s="29"/>
      <c r="AC28" s="29"/>
      <c r="AD28" s="29"/>
    </row>
    <row r="34" spans="11:30" x14ac:dyDescent="0.25">
      <c r="AA34" s="30" t="s">
        <v>1724</v>
      </c>
      <c r="AB34" s="30"/>
      <c r="AC34" s="30"/>
      <c r="AD34" s="30"/>
    </row>
    <row r="35" spans="11:30" x14ac:dyDescent="0.25">
      <c r="K35" s="32" t="s">
        <v>1724</v>
      </c>
      <c r="L35" s="32"/>
      <c r="M35" s="32"/>
      <c r="N35" s="32"/>
      <c r="O35" s="44"/>
      <c r="P35" s="44"/>
      <c r="AA35" s="31" t="s">
        <v>1744</v>
      </c>
      <c r="AB35" s="31"/>
      <c r="AC35" s="31"/>
      <c r="AD35" s="31"/>
    </row>
    <row r="36" spans="11:30" ht="13.8" customHeight="1" x14ac:dyDescent="0.25">
      <c r="K36" s="27" t="s">
        <v>1743</v>
      </c>
      <c r="L36" s="27"/>
      <c r="M36" s="27"/>
      <c r="N36" s="27"/>
      <c r="O36" s="45"/>
      <c r="P36" s="45"/>
      <c r="AA36" s="31"/>
      <c r="AB36" s="31"/>
      <c r="AC36" s="31"/>
      <c r="AD36" s="31"/>
    </row>
    <row r="37" spans="11:30" x14ac:dyDescent="0.25">
      <c r="K37" s="27"/>
      <c r="L37" s="27"/>
      <c r="M37" s="27"/>
      <c r="N37" s="27"/>
      <c r="O37" s="45"/>
      <c r="P37" s="45"/>
      <c r="AA37" s="31"/>
      <c r="AB37" s="31"/>
      <c r="AC37" s="31"/>
      <c r="AD37" s="31"/>
    </row>
    <row r="38" spans="11:30" x14ac:dyDescent="0.25">
      <c r="K38" s="27"/>
      <c r="L38" s="27"/>
      <c r="M38" s="27"/>
      <c r="N38" s="27"/>
      <c r="O38" s="45"/>
      <c r="P38" s="45"/>
      <c r="AA38" s="31"/>
      <c r="AB38" s="31"/>
      <c r="AC38" s="31"/>
      <c r="AD38" s="31"/>
    </row>
    <row r="39" spans="11:30" x14ac:dyDescent="0.25">
      <c r="K39" s="27"/>
      <c r="L39" s="27"/>
      <c r="M39" s="27"/>
      <c r="N39" s="27"/>
      <c r="O39" s="45"/>
      <c r="P39" s="45"/>
      <c r="AA39" s="31"/>
      <c r="AB39" s="31"/>
      <c r="AC39" s="31"/>
      <c r="AD39" s="31"/>
    </row>
    <row r="40" spans="11:30" x14ac:dyDescent="0.25">
      <c r="K40" s="27"/>
      <c r="L40" s="27"/>
      <c r="M40" s="27"/>
      <c r="N40" s="27"/>
      <c r="O40" s="45"/>
      <c r="P40" s="45"/>
      <c r="AA40" s="31"/>
      <c r="AB40" s="31"/>
      <c r="AC40" s="31"/>
      <c r="AD40" s="31"/>
    </row>
    <row r="41" spans="11:30" x14ac:dyDescent="0.25">
      <c r="K41" s="27"/>
      <c r="L41" s="27"/>
      <c r="M41" s="27"/>
      <c r="N41" s="27"/>
      <c r="O41" s="45"/>
      <c r="P41" s="45"/>
      <c r="AA41" s="31"/>
      <c r="AB41" s="31"/>
      <c r="AC41" s="31"/>
      <c r="AD41" s="31"/>
    </row>
    <row r="42" spans="11:30" x14ac:dyDescent="0.25">
      <c r="K42" s="27"/>
      <c r="L42" s="27"/>
      <c r="M42" s="27"/>
      <c r="N42" s="27"/>
      <c r="O42" s="45"/>
      <c r="P42" s="45"/>
      <c r="AA42" s="31"/>
      <c r="AB42" s="31"/>
      <c r="AC42" s="31"/>
      <c r="AD42" s="31"/>
    </row>
    <row r="43" spans="11:30" x14ac:dyDescent="0.25">
      <c r="K43" s="27"/>
      <c r="L43" s="27"/>
      <c r="M43" s="27"/>
      <c r="N43" s="27"/>
      <c r="O43" s="45"/>
      <c r="P43" s="45"/>
      <c r="AA43" s="31"/>
      <c r="AB43" s="31"/>
      <c r="AC43" s="31"/>
      <c r="AD43" s="31"/>
    </row>
    <row r="44" spans="11:30" x14ac:dyDescent="0.25">
      <c r="K44" s="27"/>
      <c r="L44" s="27"/>
      <c r="M44" s="27"/>
      <c r="N44" s="27"/>
      <c r="O44" s="45"/>
      <c r="P44" s="45"/>
      <c r="AA44" s="31"/>
      <c r="AB44" s="31"/>
      <c r="AC44" s="31"/>
      <c r="AD44" s="31"/>
    </row>
    <row r="45" spans="11:30" x14ac:dyDescent="0.25">
      <c r="K45" s="27"/>
      <c r="L45" s="27"/>
      <c r="M45" s="27"/>
      <c r="N45" s="27"/>
      <c r="O45" s="45"/>
      <c r="P45" s="45"/>
      <c r="AA45" s="31"/>
      <c r="AB45" s="31"/>
      <c r="AC45" s="31"/>
      <c r="AD45" s="31"/>
    </row>
    <row r="46" spans="11:30" x14ac:dyDescent="0.25">
      <c r="K46" s="27"/>
      <c r="L46" s="27"/>
      <c r="M46" s="27"/>
      <c r="N46" s="27"/>
      <c r="O46" s="45"/>
      <c r="P46" s="45"/>
      <c r="AA46" s="31"/>
      <c r="AB46" s="31"/>
      <c r="AC46" s="31"/>
      <c r="AD46" s="31"/>
    </row>
    <row r="47" spans="11:30" x14ac:dyDescent="0.25">
      <c r="K47" s="27"/>
      <c r="L47" s="27"/>
      <c r="M47" s="27"/>
      <c r="N47" s="27"/>
      <c r="O47" s="45"/>
      <c r="P47" s="45"/>
    </row>
    <row r="48" spans="11:30" x14ac:dyDescent="0.25">
      <c r="M48" s="46"/>
      <c r="N48" s="46"/>
      <c r="O48" s="46"/>
      <c r="P48" s="46"/>
    </row>
    <row r="56" spans="10:16" x14ac:dyDescent="0.25">
      <c r="J56" s="46"/>
      <c r="K56" s="46"/>
      <c r="L56" s="46"/>
      <c r="M56" s="46"/>
      <c r="N56" s="46"/>
      <c r="O56" s="46"/>
      <c r="P56" s="46"/>
    </row>
    <row r="57" spans="10:16" x14ac:dyDescent="0.25">
      <c r="J57" s="46"/>
      <c r="K57" s="46"/>
      <c r="L57" s="46"/>
      <c r="M57" s="46"/>
      <c r="N57" s="46"/>
      <c r="O57" s="46"/>
      <c r="P57" s="46"/>
    </row>
    <row r="58" spans="10:16" x14ac:dyDescent="0.25">
      <c r="J58" s="46"/>
      <c r="K58" s="46"/>
      <c r="L58" s="46"/>
      <c r="M58" s="46"/>
      <c r="N58" s="46"/>
      <c r="O58" s="46"/>
      <c r="P58" s="46"/>
    </row>
    <row r="59" spans="10:16" x14ac:dyDescent="0.25">
      <c r="J59" s="46"/>
      <c r="K59" s="46"/>
      <c r="L59" s="46"/>
      <c r="M59" s="46"/>
      <c r="N59" s="46"/>
      <c r="O59" s="46"/>
      <c r="P59" s="46"/>
    </row>
    <row r="60" spans="10:16" x14ac:dyDescent="0.25">
      <c r="J60" s="46"/>
      <c r="K60" s="46"/>
      <c r="L60" s="44"/>
      <c r="M60" s="44"/>
      <c r="N60" s="44"/>
      <c r="O60" s="44"/>
      <c r="P60" s="46"/>
    </row>
    <row r="61" spans="10:16" ht="13.8" customHeight="1" x14ac:dyDescent="0.25">
      <c r="J61" s="46"/>
      <c r="K61" s="46"/>
      <c r="L61" s="45"/>
      <c r="M61" s="45"/>
      <c r="N61" s="45"/>
      <c r="O61" s="45"/>
      <c r="P61" s="46"/>
    </row>
    <row r="62" spans="10:16" x14ac:dyDescent="0.25">
      <c r="J62" s="46"/>
      <c r="K62" s="46"/>
      <c r="L62" s="45"/>
      <c r="M62" s="45"/>
      <c r="N62" s="45"/>
      <c r="O62" s="45"/>
      <c r="P62" s="46"/>
    </row>
    <row r="63" spans="10:16" x14ac:dyDescent="0.25">
      <c r="J63" s="46"/>
      <c r="K63" s="46"/>
      <c r="L63" s="45"/>
      <c r="M63" s="45"/>
      <c r="N63" s="45"/>
      <c r="O63" s="45"/>
      <c r="P63" s="46"/>
    </row>
    <row r="64" spans="10:16" x14ac:dyDescent="0.25">
      <c r="J64" s="46"/>
      <c r="K64" s="46"/>
      <c r="L64" s="45"/>
      <c r="M64" s="45"/>
      <c r="N64" s="45"/>
      <c r="O64" s="45"/>
      <c r="P64" s="46"/>
    </row>
    <row r="65" spans="10:16" x14ac:dyDescent="0.25">
      <c r="J65" s="46"/>
      <c r="K65" s="46"/>
      <c r="L65" s="45"/>
      <c r="M65" s="45"/>
      <c r="N65" s="45"/>
      <c r="O65" s="45"/>
      <c r="P65" s="46"/>
    </row>
    <row r="66" spans="10:16" x14ac:dyDescent="0.25">
      <c r="J66" s="46"/>
      <c r="K66" s="46"/>
      <c r="L66" s="45"/>
      <c r="M66" s="45"/>
      <c r="N66" s="45"/>
      <c r="O66" s="45"/>
      <c r="P66" s="46"/>
    </row>
    <row r="67" spans="10:16" x14ac:dyDescent="0.25">
      <c r="J67" s="46"/>
      <c r="K67" s="46"/>
      <c r="L67" s="45"/>
      <c r="M67" s="45"/>
      <c r="N67" s="45"/>
      <c r="O67" s="45"/>
      <c r="P67" s="46"/>
    </row>
    <row r="68" spans="10:16" x14ac:dyDescent="0.25">
      <c r="J68" s="46"/>
      <c r="K68" s="46"/>
      <c r="L68" s="45"/>
      <c r="M68" s="45"/>
      <c r="N68" s="45"/>
      <c r="O68" s="45"/>
      <c r="P68" s="46"/>
    </row>
    <row r="69" spans="10:16" x14ac:dyDescent="0.25">
      <c r="J69" s="46"/>
      <c r="K69" s="46"/>
      <c r="L69" s="45"/>
      <c r="M69" s="45"/>
      <c r="N69" s="45"/>
      <c r="O69" s="45"/>
      <c r="P69" s="46"/>
    </row>
    <row r="70" spans="10:16" x14ac:dyDescent="0.25">
      <c r="J70" s="46"/>
      <c r="K70" s="46"/>
      <c r="L70" s="45"/>
      <c r="M70" s="45"/>
      <c r="N70" s="45"/>
      <c r="O70" s="45"/>
      <c r="P70" s="46"/>
    </row>
    <row r="71" spans="10:16" x14ac:dyDescent="0.25">
      <c r="J71" s="46"/>
      <c r="K71" s="46"/>
      <c r="L71" s="45"/>
      <c r="M71" s="45"/>
      <c r="N71" s="45"/>
      <c r="O71" s="45"/>
      <c r="P71" s="46"/>
    </row>
    <row r="72" spans="10:16" x14ac:dyDescent="0.25">
      <c r="J72" s="46"/>
      <c r="K72" s="46"/>
      <c r="L72" s="45"/>
      <c r="M72" s="45"/>
      <c r="N72" s="45"/>
      <c r="O72" s="45"/>
      <c r="P72" s="46"/>
    </row>
    <row r="73" spans="10:16" x14ac:dyDescent="0.25">
      <c r="J73" s="46"/>
      <c r="K73" s="46"/>
      <c r="L73" s="46"/>
      <c r="M73" s="46"/>
      <c r="N73" s="46"/>
      <c r="O73" s="46"/>
      <c r="P73" s="46"/>
    </row>
    <row r="74" spans="10:16" x14ac:dyDescent="0.25">
      <c r="J74" s="46"/>
      <c r="K74" s="46"/>
      <c r="L74" s="46"/>
      <c r="M74" s="46"/>
      <c r="N74" s="46"/>
      <c r="O74" s="46"/>
      <c r="P74" s="46"/>
    </row>
    <row r="75" spans="10:16" x14ac:dyDescent="0.25">
      <c r="J75" s="46"/>
      <c r="K75" s="46"/>
      <c r="L75" s="46"/>
      <c r="M75" s="46"/>
      <c r="N75" s="46"/>
      <c r="O75" s="46"/>
      <c r="P75" s="46"/>
    </row>
  </sheetData>
  <mergeCells count="35">
    <mergeCell ref="K35:N35"/>
    <mergeCell ref="K36:N47"/>
    <mergeCell ref="B11:D11"/>
    <mergeCell ref="F11:H11"/>
    <mergeCell ref="J11:L11"/>
    <mergeCell ref="N11:P11"/>
    <mergeCell ref="R11:T11"/>
    <mergeCell ref="V12:X12"/>
    <mergeCell ref="J10:L10"/>
    <mergeCell ref="N10:P10"/>
    <mergeCell ref="R10:T10"/>
    <mergeCell ref="V10:X10"/>
    <mergeCell ref="V11:X11"/>
    <mergeCell ref="AA16:AD16"/>
    <mergeCell ref="AA17:AD28"/>
    <mergeCell ref="AA34:AD34"/>
    <mergeCell ref="AA35:AD46"/>
    <mergeCell ref="K17:N28"/>
    <mergeCell ref="K16:N16"/>
    <mergeCell ref="B1:Y1"/>
    <mergeCell ref="B2:Y2"/>
    <mergeCell ref="R4:S4"/>
    <mergeCell ref="F10:H10"/>
    <mergeCell ref="B13:AA13"/>
    <mergeCell ref="B4:C4"/>
    <mergeCell ref="K4:L4"/>
    <mergeCell ref="N12:P12"/>
    <mergeCell ref="B10:D10"/>
    <mergeCell ref="B12:D12"/>
    <mergeCell ref="F12:H12"/>
    <mergeCell ref="J12:L12"/>
    <mergeCell ref="B5:G5"/>
    <mergeCell ref="J5:M5"/>
    <mergeCell ref="Q5:S5"/>
    <mergeCell ref="R12:T12"/>
  </mergeCells>
  <conditionalFormatting sqref="B6:G7">
    <cfRule type="expression" dxfId="2" priority="1">
      <formula>B6=$B$8</formula>
    </cfRule>
  </conditionalFormatting>
  <conditionalFormatting sqref="J6:M7">
    <cfRule type="expression" dxfId="1" priority="2">
      <formula>J6=$J$8</formula>
    </cfRule>
  </conditionalFormatting>
  <conditionalFormatting sqref="Q6:S7">
    <cfRule type="expression" dxfId="0" priority="3">
      <formula>Q6=$Q$8</formula>
    </cfRule>
  </conditionalFormatting>
  <pageMargins left="0.7" right="0.7" top="0.75" bottom="0.75" header="0.3" footer="0.3"/>
  <pageSetup paperSize="9" scale="59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3209021-4D12-4B42-9995-0B6ED1BF6B09}">
          <x14:formula1>
            <xm:f>Lists!$A$1:$A$13</xm:f>
          </x14:formula1>
          <xm:sqref>B8</xm:sqref>
        </x14:dataValidation>
        <x14:dataValidation type="list" allowBlank="1" showInputMessage="1" showErrorMessage="1" xr:uid="{366B8314-E26E-470F-AEB4-9947072AC12D}">
          <x14:formula1>
            <xm:f>Lists!$B$1:$B$8</xm:f>
          </x14:formula1>
          <xm:sqref>J8</xm:sqref>
        </x14:dataValidation>
        <x14:dataValidation type="list" allowBlank="1" showInputMessage="1" showErrorMessage="1" xr:uid="{E2B417EB-2EED-420E-AB6D-7FA199382271}">
          <x14:formula1>
            <xm:f>Lists!$C$1:$C$6</xm:f>
          </x14:formula1>
          <xm:sqref>Q8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EE2D-67A8-4EF5-97C0-6F06DA9639A0}">
  <dimension ref="A2:H34"/>
  <sheetViews>
    <sheetView workbookViewId="0">
      <selection activeCell="K16" sqref="K16"/>
    </sheetView>
  </sheetViews>
  <sheetFormatPr defaultRowHeight="14.4" x14ac:dyDescent="0.3"/>
  <cols>
    <col min="1" max="1" width="14.88671875" bestFit="1" customWidth="1"/>
    <col min="2" max="3" width="12.109375" bestFit="1" customWidth="1"/>
    <col min="5" max="5" width="12.5546875" bestFit="1" customWidth="1"/>
    <col min="6" max="6" width="11.6640625" bestFit="1" customWidth="1"/>
    <col min="7" max="7" width="24.77734375" bestFit="1" customWidth="1"/>
    <col min="8" max="8" width="6" bestFit="1" customWidth="1"/>
  </cols>
  <sheetData>
    <row r="2" spans="1:7" x14ac:dyDescent="0.3">
      <c r="A2" s="43" t="s">
        <v>1721</v>
      </c>
      <c r="B2" s="43"/>
      <c r="C2" s="43"/>
      <c r="E2" s="43" t="s">
        <v>1723</v>
      </c>
      <c r="F2" s="43"/>
      <c r="G2" s="43"/>
    </row>
    <row r="3" spans="1:7" x14ac:dyDescent="0.3">
      <c r="A3" s="6" t="s">
        <v>1705</v>
      </c>
      <c r="B3" t="s">
        <v>1707</v>
      </c>
      <c r="C3" t="s">
        <v>1708</v>
      </c>
      <c r="E3" s="6" t="s">
        <v>1705</v>
      </c>
      <c r="F3" t="s">
        <v>1707</v>
      </c>
      <c r="G3" t="s">
        <v>1708</v>
      </c>
    </row>
    <row r="4" spans="1:7" x14ac:dyDescent="0.3">
      <c r="A4" s="7" t="s">
        <v>42</v>
      </c>
      <c r="B4">
        <v>418087.01000000013</v>
      </c>
      <c r="C4">
        <v>76756.839999999967</v>
      </c>
      <c r="E4" s="7" t="s">
        <v>25</v>
      </c>
      <c r="F4">
        <v>143645.43999999997</v>
      </c>
      <c r="G4">
        <v>43141.470000000008</v>
      </c>
    </row>
    <row r="5" spans="1:7" x14ac:dyDescent="0.3">
      <c r="A5" s="7" t="s">
        <v>7</v>
      </c>
      <c r="B5">
        <v>408244.25999999995</v>
      </c>
      <c r="C5">
        <v>135275.67999999991</v>
      </c>
      <c r="E5" s="7" t="s">
        <v>124</v>
      </c>
      <c r="F5">
        <v>142891.53999999998</v>
      </c>
      <c r="G5">
        <v>44600.659999999996</v>
      </c>
    </row>
    <row r="6" spans="1:7" x14ac:dyDescent="0.3">
      <c r="A6" s="7" t="s">
        <v>33</v>
      </c>
      <c r="B6">
        <v>405296.40000000008</v>
      </c>
      <c r="C6">
        <v>134020.66000000003</v>
      </c>
      <c r="E6" s="7" t="s">
        <v>76</v>
      </c>
      <c r="F6">
        <v>162076.11999999988</v>
      </c>
      <c r="G6">
        <v>50187.880000000019</v>
      </c>
    </row>
    <row r="7" spans="1:7" x14ac:dyDescent="0.3">
      <c r="A7" s="7" t="s">
        <v>17</v>
      </c>
      <c r="B7">
        <v>367468.14999999997</v>
      </c>
      <c r="C7">
        <v>117500.76000000001</v>
      </c>
      <c r="E7" s="7" t="s">
        <v>16</v>
      </c>
      <c r="F7">
        <v>167186.69</v>
      </c>
      <c r="G7">
        <v>48434.30999999999</v>
      </c>
    </row>
    <row r="8" spans="1:7" x14ac:dyDescent="0.3">
      <c r="A8" s="7" t="s">
        <v>59</v>
      </c>
      <c r="B8">
        <v>347007.92</v>
      </c>
      <c r="C8">
        <v>115415.63000000002</v>
      </c>
      <c r="E8" s="7" t="s">
        <v>104</v>
      </c>
      <c r="F8">
        <v>147977.91</v>
      </c>
      <c r="G8">
        <v>44604.239999999969</v>
      </c>
    </row>
    <row r="9" spans="1:7" x14ac:dyDescent="0.3">
      <c r="A9" s="7" t="s">
        <v>1706</v>
      </c>
      <c r="B9">
        <v>1946103.7400000002</v>
      </c>
      <c r="C9">
        <v>578969.56999999995</v>
      </c>
      <c r="E9" s="7" t="s">
        <v>64</v>
      </c>
      <c r="F9">
        <v>145198.33999999994</v>
      </c>
      <c r="G9">
        <v>44035.14</v>
      </c>
    </row>
    <row r="10" spans="1:7" x14ac:dyDescent="0.3">
      <c r="E10" s="7" t="s">
        <v>54</v>
      </c>
      <c r="F10">
        <v>195650.48000000004</v>
      </c>
      <c r="G10">
        <v>58162.12000000001</v>
      </c>
    </row>
    <row r="11" spans="1:7" x14ac:dyDescent="0.3">
      <c r="E11" s="7" t="s">
        <v>32</v>
      </c>
      <c r="F11">
        <v>166276.47</v>
      </c>
      <c r="G11">
        <v>45800.879999999976</v>
      </c>
    </row>
    <row r="12" spans="1:7" x14ac:dyDescent="0.3">
      <c r="A12" s="43" t="s">
        <v>1722</v>
      </c>
      <c r="B12" s="43"/>
      <c r="E12" s="7" t="s">
        <v>115</v>
      </c>
      <c r="F12">
        <v>192480.64000000007</v>
      </c>
      <c r="G12">
        <v>56001.85000000002</v>
      </c>
    </row>
    <row r="13" spans="1:7" x14ac:dyDescent="0.3">
      <c r="A13" s="6" t="s">
        <v>1705</v>
      </c>
      <c r="B13" t="s">
        <v>1708</v>
      </c>
      <c r="E13" s="7" t="s">
        <v>68</v>
      </c>
      <c r="F13">
        <v>177158.37000000005</v>
      </c>
      <c r="G13">
        <v>53026.159999999996</v>
      </c>
    </row>
    <row r="14" spans="1:7" x14ac:dyDescent="0.3">
      <c r="A14" s="7" t="s">
        <v>1716</v>
      </c>
      <c r="B14">
        <v>5788.5999999999995</v>
      </c>
      <c r="E14" s="7" t="s">
        <v>111</v>
      </c>
      <c r="F14">
        <v>161142.65</v>
      </c>
      <c r="G14">
        <v>48987.740000000005</v>
      </c>
    </row>
    <row r="15" spans="1:7" x14ac:dyDescent="0.3">
      <c r="A15" s="7" t="s">
        <v>84</v>
      </c>
      <c r="B15">
        <v>81543.77999999997</v>
      </c>
      <c r="E15" s="7" t="s">
        <v>179</v>
      </c>
      <c r="F15">
        <v>144419.09</v>
      </c>
      <c r="G15">
        <v>41987.119999999995</v>
      </c>
    </row>
    <row r="16" spans="1:7" x14ac:dyDescent="0.3">
      <c r="A16" s="7" t="s">
        <v>87</v>
      </c>
      <c r="B16">
        <v>92536.209999999934</v>
      </c>
      <c r="E16" s="7" t="s">
        <v>1706</v>
      </c>
      <c r="F16">
        <v>1946103.74</v>
      </c>
      <c r="G16">
        <v>578969.56999999995</v>
      </c>
    </row>
    <row r="17" spans="1:8" x14ac:dyDescent="0.3">
      <c r="A17" s="7" t="s">
        <v>35</v>
      </c>
      <c r="B17">
        <v>95897.39999999998</v>
      </c>
    </row>
    <row r="18" spans="1:8" x14ac:dyDescent="0.3">
      <c r="A18" s="7" t="s">
        <v>40</v>
      </c>
      <c r="B18">
        <v>98221.099999999962</v>
      </c>
    </row>
    <row r="19" spans="1:8" x14ac:dyDescent="0.3">
      <c r="A19" s="7" t="s">
        <v>19</v>
      </c>
      <c r="B19">
        <v>99360.71</v>
      </c>
    </row>
    <row r="20" spans="1:8" x14ac:dyDescent="0.3">
      <c r="A20" s="7" t="s">
        <v>27</v>
      </c>
      <c r="B20">
        <v>105621.77000000005</v>
      </c>
    </row>
    <row r="21" spans="1:8" x14ac:dyDescent="0.3">
      <c r="A21" s="7" t="s">
        <v>1706</v>
      </c>
      <c r="B21">
        <v>578969.56999999995</v>
      </c>
    </row>
    <row r="22" spans="1:8" x14ac:dyDescent="0.3">
      <c r="A22" s="7"/>
      <c r="E22" s="10" t="s">
        <v>1712</v>
      </c>
      <c r="F22" s="11"/>
      <c r="G22" s="10" t="s">
        <v>1702</v>
      </c>
    </row>
    <row r="23" spans="1:8" x14ac:dyDescent="0.3">
      <c r="A23" s="7"/>
      <c r="E23" t="s">
        <v>1707</v>
      </c>
      <c r="G23" t="s">
        <v>1711</v>
      </c>
    </row>
    <row r="24" spans="1:8" x14ac:dyDescent="0.3">
      <c r="A24" s="43" t="s">
        <v>1720</v>
      </c>
      <c r="B24" s="43"/>
      <c r="E24">
        <v>1946103.7400000007</v>
      </c>
      <c r="G24" s="4">
        <v>3.6994923857868018</v>
      </c>
    </row>
    <row r="25" spans="1:8" x14ac:dyDescent="0.3">
      <c r="A25" s="6" t="s">
        <v>10</v>
      </c>
      <c r="B25" t="s">
        <v>56</v>
      </c>
    </row>
    <row r="26" spans="1:8" x14ac:dyDescent="0.3">
      <c r="A26" s="7"/>
      <c r="G26" s="6" t="s">
        <v>10</v>
      </c>
      <c r="H26" t="s">
        <v>56</v>
      </c>
    </row>
    <row r="27" spans="1:8" x14ac:dyDescent="0.3">
      <c r="A27" s="6" t="s">
        <v>1705</v>
      </c>
      <c r="B27" t="s">
        <v>1709</v>
      </c>
      <c r="E27" s="10" t="s">
        <v>1700</v>
      </c>
      <c r="G27" s="10" t="s">
        <v>1715</v>
      </c>
    </row>
    <row r="28" spans="1:8" x14ac:dyDescent="0.3">
      <c r="A28" s="7" t="s">
        <v>42</v>
      </c>
      <c r="B28">
        <v>81</v>
      </c>
      <c r="E28" t="s">
        <v>1708</v>
      </c>
      <c r="G28" t="s">
        <v>1709</v>
      </c>
    </row>
    <row r="29" spans="1:8" x14ac:dyDescent="0.3">
      <c r="A29" s="7" t="s">
        <v>17</v>
      </c>
      <c r="B29">
        <v>43</v>
      </c>
      <c r="E29">
        <v>578969.57000000088</v>
      </c>
      <c r="G29">
        <v>241</v>
      </c>
    </row>
    <row r="30" spans="1:8" x14ac:dyDescent="0.3">
      <c r="A30" s="7" t="s">
        <v>33</v>
      </c>
      <c r="B30">
        <v>42</v>
      </c>
    </row>
    <row r="31" spans="1:8" x14ac:dyDescent="0.3">
      <c r="A31" s="7" t="s">
        <v>7</v>
      </c>
      <c r="B31">
        <v>40</v>
      </c>
      <c r="G31" s="6" t="s">
        <v>10</v>
      </c>
      <c r="H31" t="s">
        <v>56</v>
      </c>
    </row>
    <row r="32" spans="1:8" x14ac:dyDescent="0.3">
      <c r="A32" s="7" t="s">
        <v>59</v>
      </c>
      <c r="B32">
        <v>35</v>
      </c>
      <c r="E32" s="10" t="s">
        <v>1701</v>
      </c>
      <c r="G32" s="10" t="s">
        <v>1712</v>
      </c>
    </row>
    <row r="33" spans="1:7" x14ac:dyDescent="0.3">
      <c r="A33" s="7" t="s">
        <v>1706</v>
      </c>
      <c r="B33">
        <v>241</v>
      </c>
      <c r="E33" s="12">
        <f>GETPIVOTDATA("Profit",$E$28)/GETPIVOTDATA("Sales",$E$23)</f>
        <v>0.29750190501149781</v>
      </c>
      <c r="G33" t="s">
        <v>1710</v>
      </c>
    </row>
    <row r="34" spans="1:7" x14ac:dyDescent="0.3">
      <c r="G34" s="4">
        <v>6.4798206278026909</v>
      </c>
    </row>
  </sheetData>
  <mergeCells count="4">
    <mergeCell ref="A24:B24"/>
    <mergeCell ref="A12:B12"/>
    <mergeCell ref="E2:G2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353A-D2D7-4F4B-B174-E564CCA9320C}">
  <sheetPr codeName="Sheet6"/>
  <dimension ref="A1:O1012"/>
  <sheetViews>
    <sheetView topLeftCell="A3" workbookViewId="0">
      <selection activeCell="J2" sqref="J2:J1001"/>
    </sheetView>
  </sheetViews>
  <sheetFormatPr defaultRowHeight="14.4" x14ac:dyDescent="0.3"/>
  <cols>
    <col min="1" max="1" width="15.88671875" bestFit="1" customWidth="1"/>
    <col min="2" max="2" width="10.5546875" bestFit="1" customWidth="1"/>
    <col min="3" max="3" width="15.77734375" bestFit="1" customWidth="1"/>
    <col min="4" max="4" width="17.6640625" bestFit="1" customWidth="1"/>
    <col min="5" max="5" width="14.88671875" bestFit="1" customWidth="1"/>
    <col min="6" max="6" width="18.5546875" bestFit="1" customWidth="1"/>
    <col min="7" max="9" width="8" bestFit="1" customWidth="1"/>
    <col min="10" max="10" width="17.21875" bestFit="1" customWidth="1"/>
    <col min="11" max="11" width="17.77734375" bestFit="1" customWidth="1"/>
    <col min="12" max="12" width="14.77734375" bestFit="1" customWidth="1"/>
    <col min="13" max="13" width="14.44140625" bestFit="1" customWidth="1"/>
    <col min="14" max="14" width="9.6640625" bestFit="1" customWidth="1"/>
    <col min="15" max="15" width="21.21875" bestFit="1" customWidth="1"/>
    <col min="16" max="16" width="14.33203125" bestFit="1" customWidth="1"/>
  </cols>
  <sheetData>
    <row r="1" spans="1:15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1696</v>
      </c>
      <c r="N1" t="s">
        <v>1697</v>
      </c>
      <c r="O1" t="s">
        <v>10</v>
      </c>
    </row>
    <row r="2" spans="1:15" x14ac:dyDescent="0.3">
      <c r="A2" t="s">
        <v>14</v>
      </c>
      <c r="B2" s="3">
        <v>45391</v>
      </c>
      <c r="C2" t="s">
        <v>17</v>
      </c>
      <c r="D2" t="s">
        <v>18</v>
      </c>
      <c r="E2" t="s">
        <v>19</v>
      </c>
      <c r="F2" t="s">
        <v>20</v>
      </c>
      <c r="G2">
        <v>1979.71</v>
      </c>
      <c r="H2">
        <v>1535.03</v>
      </c>
      <c r="I2">
        <v>444.68</v>
      </c>
      <c r="K2">
        <v>3</v>
      </c>
      <c r="L2" t="s">
        <v>22</v>
      </c>
      <c r="M2" t="s">
        <v>16</v>
      </c>
      <c r="N2">
        <v>2</v>
      </c>
      <c r="O2" t="s">
        <v>21</v>
      </c>
    </row>
    <row r="3" spans="1:15" x14ac:dyDescent="0.3">
      <c r="A3" t="s">
        <v>23</v>
      </c>
      <c r="B3" s="3">
        <v>45301</v>
      </c>
      <c r="C3" t="s">
        <v>17</v>
      </c>
      <c r="D3" t="s">
        <v>26</v>
      </c>
      <c r="E3" t="s">
        <v>27</v>
      </c>
      <c r="F3" t="s">
        <v>28</v>
      </c>
      <c r="G3">
        <v>2000.86</v>
      </c>
      <c r="H3">
        <v>1126.55</v>
      </c>
      <c r="I3">
        <v>874.31</v>
      </c>
      <c r="K3">
        <v>4</v>
      </c>
      <c r="L3" t="s">
        <v>29</v>
      </c>
      <c r="M3" t="s">
        <v>25</v>
      </c>
      <c r="N3">
        <v>1</v>
      </c>
      <c r="O3" t="s">
        <v>21</v>
      </c>
    </row>
    <row r="4" spans="1:15" x14ac:dyDescent="0.3">
      <c r="A4" t="s">
        <v>30</v>
      </c>
      <c r="B4" s="3">
        <v>45532</v>
      </c>
      <c r="C4" t="s">
        <v>33</v>
      </c>
      <c r="D4" t="s">
        <v>34</v>
      </c>
      <c r="E4" t="s">
        <v>35</v>
      </c>
      <c r="F4" t="s">
        <v>36</v>
      </c>
      <c r="G4">
        <v>409.86</v>
      </c>
      <c r="H4">
        <v>263.67</v>
      </c>
      <c r="I4">
        <v>146.19</v>
      </c>
      <c r="L4" t="s">
        <v>22</v>
      </c>
      <c r="M4" t="s">
        <v>32</v>
      </c>
      <c r="N4">
        <v>3</v>
      </c>
      <c r="O4" t="s">
        <v>21</v>
      </c>
    </row>
    <row r="5" spans="1:15" x14ac:dyDescent="0.3">
      <c r="A5" t="s">
        <v>37</v>
      </c>
      <c r="B5" s="3">
        <v>45410</v>
      </c>
      <c r="C5" t="s">
        <v>33</v>
      </c>
      <c r="D5" t="s">
        <v>39</v>
      </c>
      <c r="E5" t="s">
        <v>40</v>
      </c>
      <c r="F5" t="s">
        <v>20</v>
      </c>
      <c r="G5">
        <v>2822.48</v>
      </c>
      <c r="H5">
        <v>1996.74</v>
      </c>
      <c r="I5">
        <v>825.74</v>
      </c>
      <c r="K5">
        <v>2</v>
      </c>
      <c r="L5" t="s">
        <v>22</v>
      </c>
      <c r="M5" t="s">
        <v>16</v>
      </c>
      <c r="N5">
        <v>2</v>
      </c>
      <c r="O5" t="s">
        <v>21</v>
      </c>
    </row>
    <row r="6" spans="1:15" x14ac:dyDescent="0.3">
      <c r="A6" t="s">
        <v>41</v>
      </c>
      <c r="B6" s="3">
        <v>45410</v>
      </c>
      <c r="C6" t="s">
        <v>42</v>
      </c>
      <c r="D6" t="s">
        <v>43</v>
      </c>
      <c r="E6" t="s">
        <v>35</v>
      </c>
      <c r="F6" t="s">
        <v>44</v>
      </c>
      <c r="G6">
        <v>393.71</v>
      </c>
      <c r="H6">
        <v>296.07</v>
      </c>
      <c r="I6">
        <v>97.64</v>
      </c>
      <c r="K6">
        <v>2</v>
      </c>
      <c r="L6" t="s">
        <v>29</v>
      </c>
      <c r="M6" t="s">
        <v>16</v>
      </c>
      <c r="N6">
        <v>2</v>
      </c>
      <c r="O6" t="s">
        <v>21</v>
      </c>
    </row>
    <row r="7" spans="1:15" x14ac:dyDescent="0.3">
      <c r="A7" t="s">
        <v>45</v>
      </c>
      <c r="B7" s="3">
        <v>45390</v>
      </c>
      <c r="C7" t="s">
        <v>42</v>
      </c>
      <c r="D7" t="s">
        <v>47</v>
      </c>
      <c r="E7" t="s">
        <v>84</v>
      </c>
      <c r="F7" t="s">
        <v>20</v>
      </c>
      <c r="G7">
        <v>1869.97</v>
      </c>
      <c r="H7">
        <v>1712.98</v>
      </c>
      <c r="I7">
        <v>156.99</v>
      </c>
      <c r="K7">
        <v>2</v>
      </c>
      <c r="L7" t="s">
        <v>29</v>
      </c>
      <c r="M7" t="s">
        <v>16</v>
      </c>
      <c r="N7">
        <v>2</v>
      </c>
      <c r="O7" t="s">
        <v>21</v>
      </c>
    </row>
    <row r="8" spans="1:15" x14ac:dyDescent="0.3">
      <c r="A8" t="s">
        <v>49</v>
      </c>
      <c r="B8" s="3">
        <v>45406</v>
      </c>
      <c r="C8" t="s">
        <v>17</v>
      </c>
      <c r="D8" t="s">
        <v>51</v>
      </c>
      <c r="E8" t="s">
        <v>19</v>
      </c>
      <c r="F8" t="s">
        <v>44</v>
      </c>
      <c r="G8">
        <v>386.26</v>
      </c>
      <c r="H8">
        <v>223.49</v>
      </c>
      <c r="I8">
        <v>162.77000000000001</v>
      </c>
      <c r="K8">
        <v>3</v>
      </c>
      <c r="L8" t="s">
        <v>22</v>
      </c>
      <c r="M8" t="s">
        <v>16</v>
      </c>
      <c r="N8">
        <v>2</v>
      </c>
      <c r="O8" t="s">
        <v>21</v>
      </c>
    </row>
    <row r="9" spans="1:15" x14ac:dyDescent="0.3">
      <c r="A9" t="s">
        <v>52</v>
      </c>
      <c r="B9" s="3">
        <v>45495</v>
      </c>
      <c r="C9" t="s">
        <v>7</v>
      </c>
      <c r="D9" t="s">
        <v>55</v>
      </c>
      <c r="E9" t="s">
        <v>19</v>
      </c>
      <c r="F9" t="s">
        <v>28</v>
      </c>
      <c r="G9">
        <v>2723.53</v>
      </c>
      <c r="H9">
        <v>1633.76</v>
      </c>
      <c r="I9">
        <v>1089.77</v>
      </c>
      <c r="J9">
        <v>8</v>
      </c>
      <c r="K9">
        <v>2</v>
      </c>
      <c r="L9" t="s">
        <v>22</v>
      </c>
      <c r="M9" t="s">
        <v>54</v>
      </c>
      <c r="N9">
        <v>3</v>
      </c>
      <c r="O9" t="s">
        <v>56</v>
      </c>
    </row>
    <row r="10" spans="1:15" x14ac:dyDescent="0.3">
      <c r="A10" t="s">
        <v>57</v>
      </c>
      <c r="B10" s="3">
        <v>45483</v>
      </c>
      <c r="C10" t="s">
        <v>59</v>
      </c>
      <c r="D10" t="s">
        <v>60</v>
      </c>
      <c r="E10" t="s">
        <v>19</v>
      </c>
      <c r="F10" t="s">
        <v>44</v>
      </c>
      <c r="G10">
        <v>1152.5999999999999</v>
      </c>
      <c r="H10">
        <v>757.36</v>
      </c>
      <c r="I10">
        <v>395.24</v>
      </c>
      <c r="K10">
        <v>5</v>
      </c>
      <c r="L10" t="s">
        <v>22</v>
      </c>
      <c r="M10" t="s">
        <v>54</v>
      </c>
      <c r="N10">
        <v>3</v>
      </c>
      <c r="O10" t="s">
        <v>21</v>
      </c>
    </row>
    <row r="11" spans="1:15" x14ac:dyDescent="0.3">
      <c r="A11" t="s">
        <v>62</v>
      </c>
      <c r="B11" s="3">
        <v>45449</v>
      </c>
      <c r="C11" t="s">
        <v>7</v>
      </c>
      <c r="D11" t="s">
        <v>65</v>
      </c>
      <c r="E11" t="s">
        <v>27</v>
      </c>
      <c r="F11" t="s">
        <v>20</v>
      </c>
      <c r="G11">
        <v>2954.98</v>
      </c>
      <c r="H11">
        <v>2099.75</v>
      </c>
      <c r="I11">
        <v>855.23</v>
      </c>
      <c r="K11">
        <v>4</v>
      </c>
      <c r="L11" t="s">
        <v>22</v>
      </c>
      <c r="M11" t="s">
        <v>64</v>
      </c>
      <c r="N11">
        <v>2</v>
      </c>
      <c r="O11" t="s">
        <v>21</v>
      </c>
    </row>
    <row r="12" spans="1:15" x14ac:dyDescent="0.3">
      <c r="A12" t="s">
        <v>66</v>
      </c>
      <c r="B12" s="3">
        <v>45566</v>
      </c>
      <c r="C12" t="s">
        <v>7</v>
      </c>
      <c r="D12" t="s">
        <v>69</v>
      </c>
      <c r="E12" t="s">
        <v>35</v>
      </c>
      <c r="F12" t="s">
        <v>36</v>
      </c>
      <c r="G12">
        <v>1058.97</v>
      </c>
      <c r="H12">
        <v>703.57</v>
      </c>
      <c r="I12">
        <v>355.4</v>
      </c>
      <c r="K12">
        <v>5</v>
      </c>
      <c r="L12" t="s">
        <v>22</v>
      </c>
      <c r="M12" t="s">
        <v>68</v>
      </c>
      <c r="N12">
        <v>4</v>
      </c>
      <c r="O12" t="s">
        <v>21</v>
      </c>
    </row>
    <row r="13" spans="1:15" x14ac:dyDescent="0.3">
      <c r="A13" t="s">
        <v>70</v>
      </c>
      <c r="B13" s="3">
        <v>45512</v>
      </c>
      <c r="C13" t="s">
        <v>17</v>
      </c>
      <c r="D13" t="s">
        <v>72</v>
      </c>
      <c r="E13" t="s">
        <v>40</v>
      </c>
      <c r="F13" t="s">
        <v>73</v>
      </c>
      <c r="G13">
        <v>2823.18</v>
      </c>
      <c r="H13">
        <v>1974.11</v>
      </c>
      <c r="I13">
        <v>849.07</v>
      </c>
      <c r="K13">
        <v>5</v>
      </c>
      <c r="L13" t="s">
        <v>22</v>
      </c>
      <c r="M13" t="s">
        <v>32</v>
      </c>
      <c r="N13">
        <v>3</v>
      </c>
      <c r="O13" t="s">
        <v>21</v>
      </c>
    </row>
    <row r="14" spans="1:15" x14ac:dyDescent="0.3">
      <c r="A14" t="s">
        <v>74</v>
      </c>
      <c r="B14" s="3">
        <v>45370</v>
      </c>
      <c r="C14" t="s">
        <v>42</v>
      </c>
      <c r="D14" t="s">
        <v>77</v>
      </c>
      <c r="E14" t="s">
        <v>19</v>
      </c>
      <c r="F14" t="s">
        <v>44</v>
      </c>
      <c r="G14">
        <v>3252.27</v>
      </c>
      <c r="H14">
        <v>2775.57</v>
      </c>
      <c r="I14">
        <v>476.7</v>
      </c>
      <c r="K14">
        <v>4</v>
      </c>
      <c r="L14" t="s">
        <v>29</v>
      </c>
      <c r="M14" t="s">
        <v>76</v>
      </c>
      <c r="N14">
        <v>1</v>
      </c>
      <c r="O14" t="s">
        <v>21</v>
      </c>
    </row>
    <row r="15" spans="1:15" x14ac:dyDescent="0.3">
      <c r="A15" t="s">
        <v>78</v>
      </c>
      <c r="B15" s="3">
        <v>45296</v>
      </c>
      <c r="C15" t="s">
        <v>42</v>
      </c>
      <c r="D15" t="s">
        <v>80</v>
      </c>
      <c r="E15" t="s">
        <v>27</v>
      </c>
      <c r="F15" t="s">
        <v>28</v>
      </c>
      <c r="G15">
        <v>667.78</v>
      </c>
      <c r="H15">
        <v>482.92</v>
      </c>
      <c r="I15">
        <v>184.86</v>
      </c>
      <c r="J15">
        <v>5</v>
      </c>
      <c r="K15">
        <v>2</v>
      </c>
      <c r="L15" t="s">
        <v>22</v>
      </c>
      <c r="M15" t="s">
        <v>25</v>
      </c>
      <c r="N15">
        <v>1</v>
      </c>
      <c r="O15" t="s">
        <v>56</v>
      </c>
    </row>
    <row r="16" spans="1:15" x14ac:dyDescent="0.3">
      <c r="A16" t="s">
        <v>81</v>
      </c>
      <c r="B16" s="3">
        <v>45494</v>
      </c>
      <c r="C16" t="s">
        <v>42</v>
      </c>
      <c r="D16" t="s">
        <v>83</v>
      </c>
      <c r="E16" t="s">
        <v>84</v>
      </c>
      <c r="F16" t="s">
        <v>36</v>
      </c>
      <c r="G16">
        <v>2131.58</v>
      </c>
      <c r="H16">
        <v>1506.93</v>
      </c>
      <c r="I16">
        <v>624.65</v>
      </c>
      <c r="K16">
        <v>5</v>
      </c>
      <c r="L16" t="s">
        <v>29</v>
      </c>
      <c r="M16" t="s">
        <v>54</v>
      </c>
      <c r="N16">
        <v>3</v>
      </c>
      <c r="O16" t="s">
        <v>21</v>
      </c>
    </row>
    <row r="17" spans="1:15" x14ac:dyDescent="0.3">
      <c r="A17" t="s">
        <v>85</v>
      </c>
      <c r="B17" s="3">
        <v>45570</v>
      </c>
      <c r="C17" t="s">
        <v>17</v>
      </c>
      <c r="D17" t="s">
        <v>18</v>
      </c>
      <c r="E17" t="s">
        <v>87</v>
      </c>
      <c r="F17" t="s">
        <v>44</v>
      </c>
      <c r="G17">
        <v>458.36</v>
      </c>
      <c r="H17">
        <v>280.22000000000003</v>
      </c>
      <c r="I17">
        <v>178.14</v>
      </c>
      <c r="K17">
        <v>4</v>
      </c>
      <c r="L17" t="s">
        <v>22</v>
      </c>
      <c r="M17" t="s">
        <v>68</v>
      </c>
      <c r="N17">
        <v>4</v>
      </c>
      <c r="O17" t="s">
        <v>21</v>
      </c>
    </row>
    <row r="18" spans="1:15" x14ac:dyDescent="0.3">
      <c r="A18" t="s">
        <v>88</v>
      </c>
      <c r="B18" s="3">
        <v>45390</v>
      </c>
      <c r="C18" t="s">
        <v>7</v>
      </c>
      <c r="D18" t="s">
        <v>65</v>
      </c>
      <c r="E18" t="s">
        <v>40</v>
      </c>
      <c r="F18" t="s">
        <v>20</v>
      </c>
      <c r="G18">
        <v>2062.5</v>
      </c>
      <c r="H18">
        <v>1647.38</v>
      </c>
      <c r="I18">
        <v>415.12</v>
      </c>
      <c r="K18">
        <v>4</v>
      </c>
      <c r="L18" t="s">
        <v>22</v>
      </c>
      <c r="M18" t="s">
        <v>16</v>
      </c>
      <c r="N18">
        <v>2</v>
      </c>
      <c r="O18" t="s">
        <v>21</v>
      </c>
    </row>
    <row r="19" spans="1:15" x14ac:dyDescent="0.3">
      <c r="A19" t="s">
        <v>91</v>
      </c>
      <c r="B19" s="3">
        <v>45585</v>
      </c>
      <c r="C19" t="s">
        <v>33</v>
      </c>
      <c r="D19" t="s">
        <v>93</v>
      </c>
      <c r="E19" t="s">
        <v>35</v>
      </c>
      <c r="F19" t="s">
        <v>44</v>
      </c>
      <c r="G19">
        <v>609.85</v>
      </c>
      <c r="H19">
        <v>386.81</v>
      </c>
      <c r="I19">
        <v>223.04</v>
      </c>
      <c r="K19">
        <v>5</v>
      </c>
      <c r="L19" t="s">
        <v>29</v>
      </c>
      <c r="M19" t="s">
        <v>68</v>
      </c>
      <c r="N19">
        <v>4</v>
      </c>
      <c r="O19" t="s">
        <v>21</v>
      </c>
    </row>
    <row r="20" spans="1:15" x14ac:dyDescent="0.3">
      <c r="A20" t="s">
        <v>94</v>
      </c>
      <c r="B20" s="3">
        <v>45494</v>
      </c>
      <c r="C20" t="s">
        <v>42</v>
      </c>
      <c r="D20" t="s">
        <v>47</v>
      </c>
      <c r="E20" t="s">
        <v>84</v>
      </c>
      <c r="F20" t="s">
        <v>44</v>
      </c>
      <c r="G20">
        <v>2793.63</v>
      </c>
      <c r="H20">
        <v>1961.03</v>
      </c>
      <c r="I20">
        <v>832.6</v>
      </c>
      <c r="K20">
        <v>5</v>
      </c>
      <c r="L20" t="s">
        <v>29</v>
      </c>
      <c r="M20" t="s">
        <v>54</v>
      </c>
      <c r="N20">
        <v>3</v>
      </c>
      <c r="O20" t="s">
        <v>21</v>
      </c>
    </row>
    <row r="21" spans="1:15" x14ac:dyDescent="0.3">
      <c r="A21" t="s">
        <v>95</v>
      </c>
      <c r="B21" s="3">
        <v>45301</v>
      </c>
      <c r="C21" t="s">
        <v>17</v>
      </c>
      <c r="D21" t="s">
        <v>96</v>
      </c>
      <c r="E21" t="s">
        <v>40</v>
      </c>
      <c r="F21" t="s">
        <v>97</v>
      </c>
      <c r="G21">
        <v>1311.71</v>
      </c>
      <c r="H21">
        <v>836.84</v>
      </c>
      <c r="I21">
        <v>474.87</v>
      </c>
      <c r="K21">
        <v>4</v>
      </c>
      <c r="L21" t="s">
        <v>22</v>
      </c>
      <c r="M21" t="s">
        <v>25</v>
      </c>
      <c r="N21">
        <v>1</v>
      </c>
      <c r="O21" t="s">
        <v>21</v>
      </c>
    </row>
    <row r="22" spans="1:15" x14ac:dyDescent="0.3">
      <c r="A22" t="s">
        <v>98</v>
      </c>
      <c r="B22" s="3">
        <v>45472</v>
      </c>
      <c r="C22" t="s">
        <v>17</v>
      </c>
      <c r="D22" t="s">
        <v>100</v>
      </c>
      <c r="E22" t="s">
        <v>19</v>
      </c>
      <c r="F22" t="s">
        <v>44</v>
      </c>
      <c r="G22">
        <v>2887.74</v>
      </c>
      <c r="H22">
        <v>1837.35</v>
      </c>
      <c r="I22">
        <v>1050.3900000000001</v>
      </c>
      <c r="K22">
        <v>4</v>
      </c>
      <c r="L22" t="s">
        <v>22</v>
      </c>
      <c r="M22" t="s">
        <v>64</v>
      </c>
      <c r="N22">
        <v>2</v>
      </c>
      <c r="O22" t="s">
        <v>56</v>
      </c>
    </row>
    <row r="23" spans="1:15" x14ac:dyDescent="0.3">
      <c r="A23" t="s">
        <v>102</v>
      </c>
      <c r="B23" s="3">
        <v>45443</v>
      </c>
      <c r="C23" t="s">
        <v>33</v>
      </c>
      <c r="D23" t="s">
        <v>105</v>
      </c>
      <c r="E23" t="s">
        <v>40</v>
      </c>
      <c r="F23" t="s">
        <v>44</v>
      </c>
      <c r="G23">
        <v>3159.24</v>
      </c>
      <c r="H23">
        <v>1889.63</v>
      </c>
      <c r="I23">
        <v>1269.6099999999999</v>
      </c>
      <c r="K23">
        <v>5</v>
      </c>
      <c r="L23" t="s">
        <v>22</v>
      </c>
      <c r="M23" t="s">
        <v>104</v>
      </c>
      <c r="N23">
        <v>2</v>
      </c>
      <c r="O23" t="s">
        <v>21</v>
      </c>
    </row>
    <row r="24" spans="1:15" x14ac:dyDescent="0.3">
      <c r="A24" t="s">
        <v>106</v>
      </c>
      <c r="B24" s="3">
        <v>45422</v>
      </c>
      <c r="C24" t="s">
        <v>59</v>
      </c>
      <c r="D24" t="s">
        <v>108</v>
      </c>
      <c r="E24" t="s">
        <v>19</v>
      </c>
      <c r="F24" t="s">
        <v>28</v>
      </c>
      <c r="G24">
        <v>1119.6500000000001</v>
      </c>
      <c r="H24">
        <v>649.39</v>
      </c>
      <c r="I24">
        <v>470.26</v>
      </c>
      <c r="K24">
        <v>4</v>
      </c>
      <c r="L24" t="s">
        <v>22</v>
      </c>
      <c r="M24" t="s">
        <v>104</v>
      </c>
      <c r="N24">
        <v>2</v>
      </c>
      <c r="O24" t="s">
        <v>21</v>
      </c>
    </row>
    <row r="25" spans="1:15" x14ac:dyDescent="0.3">
      <c r="A25" t="s">
        <v>109</v>
      </c>
      <c r="B25" s="3">
        <v>45625</v>
      </c>
      <c r="C25" t="s">
        <v>33</v>
      </c>
      <c r="D25" t="s">
        <v>105</v>
      </c>
      <c r="E25" t="s">
        <v>35</v>
      </c>
      <c r="F25" t="s">
        <v>28</v>
      </c>
      <c r="G25">
        <v>565.70000000000005</v>
      </c>
      <c r="H25">
        <v>417.63</v>
      </c>
      <c r="I25">
        <v>148.07</v>
      </c>
      <c r="J25">
        <v>4</v>
      </c>
      <c r="K25">
        <v>3</v>
      </c>
      <c r="L25" t="s">
        <v>22</v>
      </c>
      <c r="M25" t="s">
        <v>111</v>
      </c>
      <c r="N25">
        <v>4</v>
      </c>
      <c r="O25" t="s">
        <v>56</v>
      </c>
    </row>
    <row r="26" spans="1:15" x14ac:dyDescent="0.3">
      <c r="A26" t="s">
        <v>112</v>
      </c>
      <c r="B26" s="3">
        <v>45390</v>
      </c>
      <c r="C26" t="s">
        <v>7</v>
      </c>
      <c r="D26" t="s">
        <v>1698</v>
      </c>
      <c r="E26" t="s">
        <v>35</v>
      </c>
      <c r="F26" t="s">
        <v>36</v>
      </c>
      <c r="G26">
        <v>3380.28</v>
      </c>
      <c r="H26">
        <v>2004.31</v>
      </c>
      <c r="I26">
        <v>1375.97</v>
      </c>
      <c r="K26">
        <v>3</v>
      </c>
      <c r="L26" t="s">
        <v>22</v>
      </c>
      <c r="M26" t="s">
        <v>16</v>
      </c>
      <c r="N26">
        <v>2</v>
      </c>
      <c r="O26" t="s">
        <v>21</v>
      </c>
    </row>
    <row r="27" spans="1:15" x14ac:dyDescent="0.3">
      <c r="A27" t="s">
        <v>113</v>
      </c>
      <c r="B27" s="3">
        <v>45563</v>
      </c>
      <c r="C27" t="s">
        <v>59</v>
      </c>
      <c r="D27" t="s">
        <v>116</v>
      </c>
      <c r="E27" t="s">
        <v>35</v>
      </c>
      <c r="F27" t="s">
        <v>73</v>
      </c>
      <c r="G27">
        <v>1730.78</v>
      </c>
      <c r="H27">
        <v>1248.22</v>
      </c>
      <c r="I27">
        <v>482.56</v>
      </c>
      <c r="K27">
        <v>3</v>
      </c>
      <c r="L27" t="s">
        <v>22</v>
      </c>
      <c r="M27" t="s">
        <v>115</v>
      </c>
      <c r="N27">
        <v>3</v>
      </c>
      <c r="O27" t="s">
        <v>21</v>
      </c>
    </row>
    <row r="28" spans="1:15" x14ac:dyDescent="0.3">
      <c r="A28" t="s">
        <v>117</v>
      </c>
      <c r="B28" s="3">
        <v>45602</v>
      </c>
      <c r="C28" t="s">
        <v>33</v>
      </c>
      <c r="D28" t="s">
        <v>119</v>
      </c>
      <c r="E28" t="s">
        <v>27</v>
      </c>
      <c r="F28" t="s">
        <v>44</v>
      </c>
      <c r="G28">
        <v>1652.98</v>
      </c>
      <c r="H28">
        <v>978.78</v>
      </c>
      <c r="I28">
        <v>674.2</v>
      </c>
      <c r="J28">
        <v>3</v>
      </c>
      <c r="K28">
        <v>3</v>
      </c>
      <c r="L28" t="s">
        <v>22</v>
      </c>
      <c r="M28" t="s">
        <v>111</v>
      </c>
      <c r="N28">
        <v>4</v>
      </c>
      <c r="O28" t="s">
        <v>56</v>
      </c>
    </row>
    <row r="29" spans="1:15" x14ac:dyDescent="0.3">
      <c r="A29" t="s">
        <v>120</v>
      </c>
      <c r="B29" s="3">
        <v>45504</v>
      </c>
      <c r="C29" t="s">
        <v>33</v>
      </c>
      <c r="D29" t="s">
        <v>119</v>
      </c>
      <c r="E29" t="s">
        <v>87</v>
      </c>
      <c r="F29" t="s">
        <v>20</v>
      </c>
      <c r="G29">
        <v>3220.85</v>
      </c>
      <c r="H29">
        <v>2481.89</v>
      </c>
      <c r="I29">
        <v>738.96</v>
      </c>
      <c r="K29">
        <v>4</v>
      </c>
      <c r="L29" t="s">
        <v>22</v>
      </c>
      <c r="M29" t="s">
        <v>54</v>
      </c>
      <c r="N29">
        <v>3</v>
      </c>
      <c r="O29" t="s">
        <v>21</v>
      </c>
    </row>
    <row r="30" spans="1:15" x14ac:dyDescent="0.3">
      <c r="A30" t="s">
        <v>122</v>
      </c>
      <c r="B30" s="3">
        <v>45337</v>
      </c>
      <c r="C30" t="s">
        <v>17</v>
      </c>
      <c r="D30" t="s">
        <v>18</v>
      </c>
      <c r="E30" t="s">
        <v>27</v>
      </c>
      <c r="F30" t="s">
        <v>36</v>
      </c>
      <c r="G30">
        <v>2878.12</v>
      </c>
      <c r="H30">
        <v>1905.67</v>
      </c>
      <c r="I30">
        <v>972.45</v>
      </c>
      <c r="K30">
        <v>4</v>
      </c>
      <c r="L30" t="s">
        <v>29</v>
      </c>
      <c r="M30" t="s">
        <v>124</v>
      </c>
      <c r="N30">
        <v>1</v>
      </c>
      <c r="O30" t="s">
        <v>21</v>
      </c>
    </row>
    <row r="31" spans="1:15" x14ac:dyDescent="0.3">
      <c r="A31" t="s">
        <v>125</v>
      </c>
      <c r="B31" s="3">
        <v>45311</v>
      </c>
      <c r="C31" t="s">
        <v>7</v>
      </c>
      <c r="D31" t="s">
        <v>128</v>
      </c>
      <c r="E31" t="s">
        <v>87</v>
      </c>
      <c r="F31" t="s">
        <v>73</v>
      </c>
      <c r="G31">
        <v>641.61</v>
      </c>
      <c r="H31">
        <v>509.57</v>
      </c>
      <c r="I31">
        <v>132.04</v>
      </c>
      <c r="K31">
        <v>3</v>
      </c>
      <c r="L31" t="s">
        <v>22</v>
      </c>
      <c r="M31" t="s">
        <v>25</v>
      </c>
      <c r="N31">
        <v>1</v>
      </c>
      <c r="O31" t="s">
        <v>21</v>
      </c>
    </row>
    <row r="32" spans="1:15" x14ac:dyDescent="0.3">
      <c r="A32" t="s">
        <v>129</v>
      </c>
      <c r="B32" s="3">
        <v>45497</v>
      </c>
      <c r="C32" t="s">
        <v>7</v>
      </c>
      <c r="D32" t="s">
        <v>131</v>
      </c>
      <c r="E32" t="s">
        <v>87</v>
      </c>
      <c r="F32" t="s">
        <v>73</v>
      </c>
      <c r="G32">
        <v>3439.52</v>
      </c>
      <c r="H32">
        <v>2033.04</v>
      </c>
      <c r="I32">
        <v>1406.48</v>
      </c>
      <c r="K32">
        <v>5</v>
      </c>
      <c r="L32" t="s">
        <v>29</v>
      </c>
      <c r="M32" t="s">
        <v>54</v>
      </c>
      <c r="N32">
        <v>3</v>
      </c>
      <c r="O32" t="s">
        <v>56</v>
      </c>
    </row>
    <row r="33" spans="1:15" x14ac:dyDescent="0.3">
      <c r="A33" t="s">
        <v>132</v>
      </c>
      <c r="B33" s="3">
        <v>45501</v>
      </c>
      <c r="C33" t="s">
        <v>7</v>
      </c>
      <c r="D33" t="s">
        <v>134</v>
      </c>
      <c r="E33" t="s">
        <v>40</v>
      </c>
      <c r="F33" t="s">
        <v>36</v>
      </c>
      <c r="G33">
        <v>976.86</v>
      </c>
      <c r="H33">
        <v>693.94</v>
      </c>
      <c r="I33">
        <v>282.92</v>
      </c>
      <c r="K33">
        <v>4</v>
      </c>
      <c r="L33" t="s">
        <v>22</v>
      </c>
      <c r="M33" t="s">
        <v>54</v>
      </c>
      <c r="N33">
        <v>3</v>
      </c>
      <c r="O33" t="s">
        <v>21</v>
      </c>
    </row>
    <row r="34" spans="1:15" x14ac:dyDescent="0.3">
      <c r="A34" t="s">
        <v>135</v>
      </c>
      <c r="B34" s="3">
        <v>45475</v>
      </c>
      <c r="C34" t="s">
        <v>33</v>
      </c>
      <c r="D34" t="s">
        <v>34</v>
      </c>
      <c r="E34" t="s">
        <v>35</v>
      </c>
      <c r="F34" t="s">
        <v>20</v>
      </c>
      <c r="G34">
        <v>1267.02</v>
      </c>
      <c r="H34">
        <v>792.78</v>
      </c>
      <c r="I34">
        <v>474.24</v>
      </c>
      <c r="K34">
        <v>3</v>
      </c>
      <c r="L34" t="s">
        <v>22</v>
      </c>
      <c r="M34" t="s">
        <v>54</v>
      </c>
      <c r="N34">
        <v>3</v>
      </c>
      <c r="O34" t="s">
        <v>21</v>
      </c>
    </row>
    <row r="35" spans="1:15" x14ac:dyDescent="0.3">
      <c r="A35" t="s">
        <v>137</v>
      </c>
      <c r="B35" s="3">
        <v>45560</v>
      </c>
      <c r="C35" t="s">
        <v>7</v>
      </c>
      <c r="D35" t="s">
        <v>55</v>
      </c>
      <c r="E35" t="s">
        <v>27</v>
      </c>
      <c r="F35" t="s">
        <v>28</v>
      </c>
      <c r="G35">
        <v>3158.75</v>
      </c>
      <c r="H35">
        <v>2322.77</v>
      </c>
      <c r="I35">
        <v>835.98</v>
      </c>
      <c r="K35">
        <v>3</v>
      </c>
      <c r="L35" t="s">
        <v>22</v>
      </c>
      <c r="M35" t="s">
        <v>115</v>
      </c>
      <c r="N35">
        <v>3</v>
      </c>
      <c r="O35" t="s">
        <v>21</v>
      </c>
    </row>
    <row r="36" spans="1:15" x14ac:dyDescent="0.3">
      <c r="A36" t="s">
        <v>139</v>
      </c>
      <c r="B36" s="3">
        <v>45435</v>
      </c>
      <c r="C36" t="s">
        <v>7</v>
      </c>
      <c r="D36" t="s">
        <v>69</v>
      </c>
      <c r="E36" t="s">
        <v>35</v>
      </c>
      <c r="F36" t="s">
        <v>73</v>
      </c>
      <c r="G36">
        <v>2149.4699999999998</v>
      </c>
      <c r="H36">
        <v>1272.69</v>
      </c>
      <c r="I36">
        <v>876.78</v>
      </c>
      <c r="J36">
        <v>4</v>
      </c>
      <c r="K36">
        <v>5</v>
      </c>
      <c r="L36" t="s">
        <v>22</v>
      </c>
      <c r="M36" t="s">
        <v>104</v>
      </c>
      <c r="N36">
        <v>2</v>
      </c>
      <c r="O36" t="s">
        <v>56</v>
      </c>
    </row>
    <row r="37" spans="1:15" x14ac:dyDescent="0.3">
      <c r="A37" t="s">
        <v>141</v>
      </c>
      <c r="B37" s="3">
        <v>45371</v>
      </c>
      <c r="C37" t="s">
        <v>33</v>
      </c>
      <c r="D37" t="s">
        <v>34</v>
      </c>
      <c r="E37" t="s">
        <v>27</v>
      </c>
      <c r="F37" t="s">
        <v>73</v>
      </c>
      <c r="G37">
        <v>2895.67</v>
      </c>
      <c r="H37">
        <v>2167.09</v>
      </c>
      <c r="I37">
        <v>728.58</v>
      </c>
      <c r="K37">
        <v>3</v>
      </c>
      <c r="L37" t="s">
        <v>22</v>
      </c>
      <c r="M37" t="s">
        <v>76</v>
      </c>
      <c r="N37">
        <v>1</v>
      </c>
      <c r="O37" t="s">
        <v>21</v>
      </c>
    </row>
    <row r="38" spans="1:15" x14ac:dyDescent="0.3">
      <c r="A38" t="s">
        <v>143</v>
      </c>
      <c r="B38" s="3">
        <v>45586</v>
      </c>
      <c r="C38" t="s">
        <v>33</v>
      </c>
      <c r="D38" t="s">
        <v>105</v>
      </c>
      <c r="E38" t="s">
        <v>40</v>
      </c>
      <c r="F38" t="s">
        <v>28</v>
      </c>
      <c r="G38">
        <v>397.06</v>
      </c>
      <c r="H38">
        <v>314.91000000000003</v>
      </c>
      <c r="I38">
        <v>82.15</v>
      </c>
      <c r="K38">
        <v>4</v>
      </c>
      <c r="L38" t="s">
        <v>22</v>
      </c>
      <c r="M38" t="s">
        <v>68</v>
      </c>
      <c r="N38">
        <v>4</v>
      </c>
      <c r="O38" t="s">
        <v>21</v>
      </c>
    </row>
    <row r="39" spans="1:15" x14ac:dyDescent="0.3">
      <c r="A39" t="s">
        <v>145</v>
      </c>
      <c r="B39" s="3">
        <v>45413</v>
      </c>
      <c r="C39" t="s">
        <v>7</v>
      </c>
      <c r="D39" t="s">
        <v>134</v>
      </c>
      <c r="E39" t="s">
        <v>84</v>
      </c>
      <c r="F39" t="s">
        <v>36</v>
      </c>
      <c r="G39">
        <v>2621.46</v>
      </c>
      <c r="H39">
        <v>2011.9</v>
      </c>
      <c r="I39">
        <v>609.55999999999995</v>
      </c>
      <c r="K39">
        <v>4</v>
      </c>
      <c r="L39" t="s">
        <v>29</v>
      </c>
      <c r="M39" t="s">
        <v>104</v>
      </c>
      <c r="N39">
        <v>2</v>
      </c>
      <c r="O39" t="s">
        <v>21</v>
      </c>
    </row>
    <row r="40" spans="1:15" x14ac:dyDescent="0.3">
      <c r="A40" t="s">
        <v>147</v>
      </c>
      <c r="B40" s="3">
        <v>45504</v>
      </c>
      <c r="C40" t="s">
        <v>7</v>
      </c>
      <c r="D40" t="s">
        <v>55</v>
      </c>
      <c r="E40" t="s">
        <v>84</v>
      </c>
      <c r="F40" t="s">
        <v>73</v>
      </c>
      <c r="G40">
        <v>738.39</v>
      </c>
      <c r="H40">
        <v>430.51</v>
      </c>
      <c r="I40">
        <v>307.88</v>
      </c>
      <c r="K40">
        <v>5</v>
      </c>
      <c r="L40" t="s">
        <v>22</v>
      </c>
      <c r="M40" t="s">
        <v>54</v>
      </c>
      <c r="N40">
        <v>3</v>
      </c>
      <c r="O40" t="s">
        <v>21</v>
      </c>
    </row>
    <row r="41" spans="1:15" x14ac:dyDescent="0.3">
      <c r="A41" t="s">
        <v>148</v>
      </c>
      <c r="B41" s="3">
        <v>45357</v>
      </c>
      <c r="C41" t="s">
        <v>59</v>
      </c>
      <c r="D41" t="s">
        <v>108</v>
      </c>
      <c r="E41" t="s">
        <v>27</v>
      </c>
      <c r="F41" t="s">
        <v>73</v>
      </c>
      <c r="G41">
        <v>2741.83</v>
      </c>
      <c r="H41">
        <v>1839.59</v>
      </c>
      <c r="I41">
        <v>902.24</v>
      </c>
      <c r="K41">
        <v>2</v>
      </c>
      <c r="L41" t="s">
        <v>22</v>
      </c>
      <c r="M41" t="s">
        <v>76</v>
      </c>
      <c r="N41">
        <v>1</v>
      </c>
      <c r="O41" t="s">
        <v>21</v>
      </c>
    </row>
    <row r="42" spans="1:15" x14ac:dyDescent="0.3">
      <c r="A42" t="s">
        <v>150</v>
      </c>
      <c r="B42" s="3">
        <v>45361</v>
      </c>
      <c r="C42" t="s">
        <v>17</v>
      </c>
      <c r="D42" t="s">
        <v>72</v>
      </c>
      <c r="E42" t="s">
        <v>84</v>
      </c>
      <c r="F42" t="s">
        <v>36</v>
      </c>
      <c r="G42">
        <v>196.48</v>
      </c>
      <c r="H42">
        <v>113.56</v>
      </c>
      <c r="I42">
        <v>82.92</v>
      </c>
      <c r="K42">
        <v>2</v>
      </c>
      <c r="L42" t="s">
        <v>22</v>
      </c>
      <c r="M42" t="s">
        <v>76</v>
      </c>
      <c r="N42">
        <v>1</v>
      </c>
      <c r="O42" t="s">
        <v>21</v>
      </c>
    </row>
    <row r="43" spans="1:15" x14ac:dyDescent="0.3">
      <c r="A43" t="s">
        <v>152</v>
      </c>
      <c r="B43" s="3">
        <v>45480</v>
      </c>
      <c r="C43" t="s">
        <v>7</v>
      </c>
      <c r="D43" t="s">
        <v>134</v>
      </c>
      <c r="E43" t="s">
        <v>19</v>
      </c>
      <c r="F43" t="s">
        <v>36</v>
      </c>
      <c r="G43">
        <v>3833.27</v>
      </c>
      <c r="H43">
        <v>2974.78</v>
      </c>
      <c r="I43">
        <v>858.49</v>
      </c>
      <c r="K43">
        <v>4</v>
      </c>
      <c r="L43" t="s">
        <v>22</v>
      </c>
      <c r="M43" t="s">
        <v>54</v>
      </c>
      <c r="N43">
        <v>3</v>
      </c>
      <c r="O43" t="s">
        <v>21</v>
      </c>
    </row>
    <row r="44" spans="1:15" x14ac:dyDescent="0.3">
      <c r="A44" t="s">
        <v>154</v>
      </c>
      <c r="B44" s="3">
        <v>45566</v>
      </c>
      <c r="C44" t="s">
        <v>59</v>
      </c>
      <c r="D44" t="s">
        <v>155</v>
      </c>
      <c r="E44" t="s">
        <v>40</v>
      </c>
      <c r="F44" t="s">
        <v>44</v>
      </c>
      <c r="G44">
        <v>2457.58</v>
      </c>
      <c r="H44">
        <v>1450.4</v>
      </c>
      <c r="I44">
        <v>1007.18</v>
      </c>
      <c r="K44">
        <v>4</v>
      </c>
      <c r="L44" t="s">
        <v>29</v>
      </c>
      <c r="M44" t="s">
        <v>68</v>
      </c>
      <c r="N44">
        <v>4</v>
      </c>
      <c r="O44" t="s">
        <v>21</v>
      </c>
    </row>
    <row r="45" spans="1:15" x14ac:dyDescent="0.3">
      <c r="A45" t="s">
        <v>156</v>
      </c>
      <c r="B45" s="3">
        <v>45481</v>
      </c>
      <c r="C45" t="s">
        <v>17</v>
      </c>
      <c r="D45" t="s">
        <v>72</v>
      </c>
      <c r="E45" t="s">
        <v>19</v>
      </c>
      <c r="F45" t="s">
        <v>28</v>
      </c>
      <c r="G45">
        <v>2249.8200000000002</v>
      </c>
      <c r="H45">
        <v>1633.31</v>
      </c>
      <c r="I45">
        <v>616.51</v>
      </c>
      <c r="K45">
        <v>5</v>
      </c>
      <c r="L45" t="s">
        <v>22</v>
      </c>
      <c r="M45" t="s">
        <v>54</v>
      </c>
      <c r="N45">
        <v>3</v>
      </c>
      <c r="O45" t="s">
        <v>21</v>
      </c>
    </row>
    <row r="46" spans="1:15" x14ac:dyDescent="0.3">
      <c r="A46" t="s">
        <v>158</v>
      </c>
      <c r="B46" s="3">
        <v>45498</v>
      </c>
      <c r="C46" t="s">
        <v>33</v>
      </c>
      <c r="D46" t="s">
        <v>34</v>
      </c>
      <c r="E46" t="s">
        <v>35</v>
      </c>
      <c r="F46" t="s">
        <v>44</v>
      </c>
      <c r="G46">
        <v>1747.49</v>
      </c>
      <c r="H46">
        <v>1016.85</v>
      </c>
      <c r="I46">
        <v>730.64</v>
      </c>
      <c r="K46">
        <v>5</v>
      </c>
      <c r="L46" t="s">
        <v>29</v>
      </c>
      <c r="M46" t="s">
        <v>54</v>
      </c>
      <c r="N46">
        <v>3</v>
      </c>
      <c r="O46" t="s">
        <v>21</v>
      </c>
    </row>
    <row r="47" spans="1:15" x14ac:dyDescent="0.3">
      <c r="A47" t="s">
        <v>160</v>
      </c>
      <c r="B47" s="3">
        <v>45498</v>
      </c>
      <c r="C47" t="s">
        <v>42</v>
      </c>
      <c r="D47" t="s">
        <v>162</v>
      </c>
      <c r="E47" t="s">
        <v>19</v>
      </c>
      <c r="F47" t="s">
        <v>20</v>
      </c>
      <c r="G47">
        <v>214.07</v>
      </c>
      <c r="H47">
        <v>160.41</v>
      </c>
      <c r="I47">
        <v>53.66</v>
      </c>
      <c r="J47">
        <v>5</v>
      </c>
      <c r="K47">
        <v>2</v>
      </c>
      <c r="L47" t="s">
        <v>22</v>
      </c>
      <c r="M47" t="s">
        <v>54</v>
      </c>
      <c r="N47">
        <v>3</v>
      </c>
      <c r="O47" t="s">
        <v>21</v>
      </c>
    </row>
    <row r="48" spans="1:15" x14ac:dyDescent="0.3">
      <c r="A48" t="s">
        <v>163</v>
      </c>
      <c r="B48" s="3">
        <v>45293</v>
      </c>
      <c r="C48" t="s">
        <v>59</v>
      </c>
      <c r="D48" t="s">
        <v>60</v>
      </c>
      <c r="E48" t="s">
        <v>84</v>
      </c>
      <c r="F48" t="s">
        <v>28</v>
      </c>
      <c r="G48">
        <v>1680.68</v>
      </c>
      <c r="H48">
        <v>1217.78</v>
      </c>
      <c r="I48">
        <v>462.9</v>
      </c>
      <c r="J48">
        <v>5</v>
      </c>
      <c r="K48">
        <v>5</v>
      </c>
      <c r="L48" t="s">
        <v>22</v>
      </c>
      <c r="M48" t="s">
        <v>25</v>
      </c>
      <c r="N48">
        <v>1</v>
      </c>
      <c r="O48" t="s">
        <v>56</v>
      </c>
    </row>
    <row r="49" spans="1:15" x14ac:dyDescent="0.3">
      <c r="A49" t="s">
        <v>165</v>
      </c>
      <c r="B49" s="3">
        <v>45574</v>
      </c>
      <c r="C49" t="s">
        <v>17</v>
      </c>
      <c r="D49" t="s">
        <v>18</v>
      </c>
      <c r="E49" t="s">
        <v>19</v>
      </c>
      <c r="F49" t="s">
        <v>20</v>
      </c>
      <c r="G49">
        <v>1857.49</v>
      </c>
      <c r="H49">
        <v>1455.33</v>
      </c>
      <c r="I49">
        <v>402.16</v>
      </c>
      <c r="K49">
        <v>4</v>
      </c>
      <c r="L49" t="s">
        <v>29</v>
      </c>
      <c r="M49" t="s">
        <v>68</v>
      </c>
      <c r="N49">
        <v>4</v>
      </c>
      <c r="O49" t="s">
        <v>21</v>
      </c>
    </row>
    <row r="50" spans="1:15" x14ac:dyDescent="0.3">
      <c r="A50" t="s">
        <v>167</v>
      </c>
      <c r="B50" s="3">
        <v>45446</v>
      </c>
      <c r="C50" t="s">
        <v>7</v>
      </c>
      <c r="D50" t="s">
        <v>55</v>
      </c>
      <c r="E50" t="s">
        <v>19</v>
      </c>
      <c r="F50" t="s">
        <v>36</v>
      </c>
      <c r="G50">
        <v>1304.77</v>
      </c>
      <c r="H50">
        <v>744.37</v>
      </c>
      <c r="I50">
        <v>560.4</v>
      </c>
      <c r="J50">
        <v>3</v>
      </c>
      <c r="K50">
        <v>5</v>
      </c>
      <c r="L50" t="s">
        <v>22</v>
      </c>
      <c r="M50" t="s">
        <v>64</v>
      </c>
      <c r="N50">
        <v>2</v>
      </c>
      <c r="O50" t="s">
        <v>56</v>
      </c>
    </row>
    <row r="51" spans="1:15" x14ac:dyDescent="0.3">
      <c r="A51" t="s">
        <v>169</v>
      </c>
      <c r="B51" s="3">
        <v>45539</v>
      </c>
      <c r="C51" t="s">
        <v>33</v>
      </c>
      <c r="D51" t="s">
        <v>171</v>
      </c>
      <c r="E51" t="s">
        <v>27</v>
      </c>
      <c r="F51" t="s">
        <v>36</v>
      </c>
      <c r="G51">
        <v>4585.2</v>
      </c>
      <c r="H51">
        <v>3153.78</v>
      </c>
      <c r="I51">
        <v>1431.42</v>
      </c>
      <c r="K51">
        <v>5</v>
      </c>
      <c r="L51" t="s">
        <v>29</v>
      </c>
      <c r="M51" t="s">
        <v>115</v>
      </c>
      <c r="N51">
        <v>3</v>
      </c>
      <c r="O51" t="s">
        <v>21</v>
      </c>
    </row>
    <row r="52" spans="1:15" x14ac:dyDescent="0.3">
      <c r="A52" t="s">
        <v>172</v>
      </c>
      <c r="B52" s="3">
        <v>45477</v>
      </c>
      <c r="C52" t="s">
        <v>59</v>
      </c>
      <c r="D52" t="s">
        <v>116</v>
      </c>
      <c r="E52" t="s">
        <v>19</v>
      </c>
      <c r="F52" t="s">
        <v>28</v>
      </c>
      <c r="G52">
        <v>2537.2800000000002</v>
      </c>
      <c r="H52">
        <v>1746.22</v>
      </c>
      <c r="I52">
        <v>791.06</v>
      </c>
      <c r="K52">
        <v>3</v>
      </c>
      <c r="L52" t="s">
        <v>22</v>
      </c>
      <c r="M52" t="s">
        <v>54</v>
      </c>
      <c r="N52">
        <v>3</v>
      </c>
      <c r="O52" t="s">
        <v>21</v>
      </c>
    </row>
    <row r="53" spans="1:15" x14ac:dyDescent="0.3">
      <c r="A53" t="s">
        <v>174</v>
      </c>
      <c r="B53" s="3">
        <v>45415</v>
      </c>
      <c r="C53" t="s">
        <v>59</v>
      </c>
      <c r="D53" t="s">
        <v>155</v>
      </c>
      <c r="E53" t="s">
        <v>19</v>
      </c>
      <c r="F53" t="s">
        <v>176</v>
      </c>
      <c r="G53">
        <v>3163.95</v>
      </c>
      <c r="H53">
        <v>2377.2600000000002</v>
      </c>
      <c r="I53">
        <v>786.69</v>
      </c>
      <c r="K53">
        <v>5</v>
      </c>
      <c r="L53" t="s">
        <v>22</v>
      </c>
      <c r="M53" t="s">
        <v>104</v>
      </c>
      <c r="N53">
        <v>2</v>
      </c>
      <c r="O53" t="s">
        <v>21</v>
      </c>
    </row>
    <row r="54" spans="1:15" x14ac:dyDescent="0.3">
      <c r="A54" t="s">
        <v>177</v>
      </c>
      <c r="B54" s="3">
        <v>45651</v>
      </c>
      <c r="C54" t="s">
        <v>42</v>
      </c>
      <c r="D54" t="s">
        <v>80</v>
      </c>
      <c r="E54" t="s">
        <v>87</v>
      </c>
      <c r="F54" t="s">
        <v>44</v>
      </c>
      <c r="G54">
        <v>1299.97</v>
      </c>
      <c r="H54">
        <v>1085.1099999999999</v>
      </c>
      <c r="I54">
        <v>214.86</v>
      </c>
      <c r="K54">
        <v>5</v>
      </c>
      <c r="L54" t="s">
        <v>29</v>
      </c>
      <c r="M54" t="s">
        <v>179</v>
      </c>
      <c r="N54">
        <v>4</v>
      </c>
      <c r="O54" t="s">
        <v>21</v>
      </c>
    </row>
    <row r="55" spans="1:15" x14ac:dyDescent="0.3">
      <c r="A55" t="s">
        <v>180</v>
      </c>
      <c r="B55" s="3">
        <v>45551</v>
      </c>
      <c r="C55" t="s">
        <v>7</v>
      </c>
      <c r="D55" t="s">
        <v>182</v>
      </c>
      <c r="E55" t="s">
        <v>87</v>
      </c>
      <c r="F55" t="s">
        <v>20</v>
      </c>
      <c r="G55">
        <v>1150.24</v>
      </c>
      <c r="H55">
        <v>910.49</v>
      </c>
      <c r="I55">
        <v>239.75</v>
      </c>
      <c r="K55">
        <v>1</v>
      </c>
      <c r="L55" t="s">
        <v>22</v>
      </c>
      <c r="M55" t="s">
        <v>115</v>
      </c>
      <c r="N55">
        <v>3</v>
      </c>
      <c r="O55" t="s">
        <v>21</v>
      </c>
    </row>
    <row r="56" spans="1:15" x14ac:dyDescent="0.3">
      <c r="A56" t="s">
        <v>183</v>
      </c>
      <c r="B56" s="3">
        <v>45629</v>
      </c>
      <c r="C56" t="s">
        <v>7</v>
      </c>
      <c r="D56" t="s">
        <v>185</v>
      </c>
      <c r="E56" t="s">
        <v>40</v>
      </c>
      <c r="F56" t="s">
        <v>44</v>
      </c>
      <c r="G56">
        <v>1376.24</v>
      </c>
      <c r="H56">
        <v>1024.3699999999999</v>
      </c>
      <c r="I56">
        <v>351.87</v>
      </c>
      <c r="K56">
        <v>4</v>
      </c>
      <c r="L56" t="s">
        <v>29</v>
      </c>
      <c r="M56" t="s">
        <v>179</v>
      </c>
      <c r="N56">
        <v>4</v>
      </c>
      <c r="O56" t="s">
        <v>21</v>
      </c>
    </row>
    <row r="57" spans="1:15" x14ac:dyDescent="0.3">
      <c r="A57" t="s">
        <v>186</v>
      </c>
      <c r="B57" s="3">
        <v>45385</v>
      </c>
      <c r="C57" t="s">
        <v>17</v>
      </c>
      <c r="D57" t="s">
        <v>100</v>
      </c>
      <c r="E57" t="s">
        <v>87</v>
      </c>
      <c r="F57" t="s">
        <v>44</v>
      </c>
      <c r="G57">
        <v>2556.27</v>
      </c>
      <c r="H57">
        <v>2019.68</v>
      </c>
      <c r="I57">
        <v>536.59</v>
      </c>
      <c r="J57">
        <v>4</v>
      </c>
      <c r="K57">
        <v>1</v>
      </c>
      <c r="L57" t="s">
        <v>22</v>
      </c>
      <c r="M57" t="s">
        <v>16</v>
      </c>
      <c r="N57">
        <v>2</v>
      </c>
      <c r="O57" t="s">
        <v>56</v>
      </c>
    </row>
    <row r="58" spans="1:15" x14ac:dyDescent="0.3">
      <c r="A58" t="s">
        <v>188</v>
      </c>
      <c r="B58" s="3">
        <v>45402</v>
      </c>
      <c r="C58" t="s">
        <v>42</v>
      </c>
      <c r="D58" t="s">
        <v>77</v>
      </c>
      <c r="E58" t="s">
        <v>87</v>
      </c>
      <c r="F58" t="s">
        <v>36</v>
      </c>
      <c r="G58">
        <v>2313.34</v>
      </c>
      <c r="H58">
        <v>2113.48</v>
      </c>
      <c r="I58">
        <v>199.86</v>
      </c>
      <c r="J58">
        <v>5</v>
      </c>
      <c r="K58">
        <v>4</v>
      </c>
      <c r="L58" t="s">
        <v>22</v>
      </c>
      <c r="M58" t="s">
        <v>16</v>
      </c>
      <c r="N58">
        <v>2</v>
      </c>
      <c r="O58" t="s">
        <v>56</v>
      </c>
    </row>
    <row r="59" spans="1:15" x14ac:dyDescent="0.3">
      <c r="A59" t="s">
        <v>190</v>
      </c>
      <c r="B59" s="3">
        <v>45510</v>
      </c>
      <c r="C59" t="s">
        <v>59</v>
      </c>
      <c r="D59" t="s">
        <v>155</v>
      </c>
      <c r="E59" t="s">
        <v>40</v>
      </c>
      <c r="F59" t="s">
        <v>20</v>
      </c>
      <c r="G59">
        <v>1506.3</v>
      </c>
      <c r="H59">
        <v>844.22</v>
      </c>
      <c r="I59">
        <v>662.08</v>
      </c>
      <c r="K59">
        <v>5</v>
      </c>
      <c r="L59" t="s">
        <v>22</v>
      </c>
      <c r="M59" t="s">
        <v>32</v>
      </c>
      <c r="N59">
        <v>3</v>
      </c>
      <c r="O59" t="s">
        <v>21</v>
      </c>
    </row>
    <row r="60" spans="1:15" x14ac:dyDescent="0.3">
      <c r="A60" t="s">
        <v>192</v>
      </c>
      <c r="B60" s="3">
        <v>45361</v>
      </c>
      <c r="C60" t="s">
        <v>59</v>
      </c>
      <c r="D60" t="s">
        <v>194</v>
      </c>
      <c r="E60" t="s">
        <v>27</v>
      </c>
      <c r="F60" t="s">
        <v>44</v>
      </c>
      <c r="G60">
        <v>2764.73</v>
      </c>
      <c r="H60">
        <v>1882.98</v>
      </c>
      <c r="I60">
        <v>881.75</v>
      </c>
      <c r="J60">
        <v>4</v>
      </c>
      <c r="K60">
        <v>4</v>
      </c>
      <c r="L60" t="s">
        <v>22</v>
      </c>
      <c r="M60" t="s">
        <v>76</v>
      </c>
      <c r="N60">
        <v>1</v>
      </c>
      <c r="O60" t="s">
        <v>56</v>
      </c>
    </row>
    <row r="61" spans="1:15" x14ac:dyDescent="0.3">
      <c r="A61" t="s">
        <v>195</v>
      </c>
      <c r="B61" s="3">
        <v>45575</v>
      </c>
      <c r="C61" t="s">
        <v>33</v>
      </c>
      <c r="D61" t="s">
        <v>93</v>
      </c>
      <c r="E61" t="s">
        <v>19</v>
      </c>
      <c r="F61" t="s">
        <v>44</v>
      </c>
      <c r="G61">
        <v>3014.26</v>
      </c>
      <c r="H61">
        <v>1723.01</v>
      </c>
      <c r="I61">
        <v>1291.25</v>
      </c>
      <c r="K61">
        <v>4</v>
      </c>
      <c r="L61" t="s">
        <v>22</v>
      </c>
      <c r="M61" t="s">
        <v>68</v>
      </c>
      <c r="N61">
        <v>4</v>
      </c>
      <c r="O61" t="s">
        <v>21</v>
      </c>
    </row>
    <row r="62" spans="1:15" x14ac:dyDescent="0.3">
      <c r="A62" t="s">
        <v>197</v>
      </c>
      <c r="B62" s="3">
        <v>45369</v>
      </c>
      <c r="C62" t="s">
        <v>42</v>
      </c>
      <c r="D62" t="s">
        <v>162</v>
      </c>
      <c r="E62" t="s">
        <v>19</v>
      </c>
      <c r="F62" t="s">
        <v>20</v>
      </c>
      <c r="G62">
        <v>2635.59</v>
      </c>
      <c r="H62">
        <v>2314.7600000000002</v>
      </c>
      <c r="I62">
        <v>320.83</v>
      </c>
      <c r="K62">
        <v>5</v>
      </c>
      <c r="L62" t="s">
        <v>29</v>
      </c>
      <c r="M62" t="s">
        <v>76</v>
      </c>
      <c r="N62">
        <v>1</v>
      </c>
      <c r="O62" t="s">
        <v>21</v>
      </c>
    </row>
    <row r="63" spans="1:15" x14ac:dyDescent="0.3">
      <c r="A63" t="s">
        <v>199</v>
      </c>
      <c r="B63" s="3">
        <v>45650</v>
      </c>
      <c r="C63" t="s">
        <v>17</v>
      </c>
      <c r="D63" t="s">
        <v>18</v>
      </c>
      <c r="E63" t="s">
        <v>84</v>
      </c>
      <c r="F63" t="s">
        <v>28</v>
      </c>
      <c r="G63">
        <v>600.92999999999995</v>
      </c>
      <c r="H63">
        <v>358.07</v>
      </c>
      <c r="I63">
        <v>242.86</v>
      </c>
      <c r="J63">
        <v>6</v>
      </c>
      <c r="K63">
        <v>3</v>
      </c>
      <c r="L63" t="s">
        <v>22</v>
      </c>
      <c r="M63" t="s">
        <v>179</v>
      </c>
      <c r="N63">
        <v>4</v>
      </c>
      <c r="O63" t="s">
        <v>21</v>
      </c>
    </row>
    <row r="64" spans="1:15" x14ac:dyDescent="0.3">
      <c r="A64" t="s">
        <v>201</v>
      </c>
      <c r="B64" s="3">
        <v>45556</v>
      </c>
      <c r="C64" t="s">
        <v>17</v>
      </c>
      <c r="D64" t="s">
        <v>51</v>
      </c>
      <c r="E64" t="s">
        <v>27</v>
      </c>
      <c r="F64" t="s">
        <v>44</v>
      </c>
      <c r="G64">
        <v>2083.5100000000002</v>
      </c>
      <c r="H64">
        <v>1606.17</v>
      </c>
      <c r="I64">
        <v>477.34</v>
      </c>
      <c r="K64">
        <v>3</v>
      </c>
      <c r="L64" t="s">
        <v>22</v>
      </c>
      <c r="M64" t="s">
        <v>115</v>
      </c>
      <c r="N64">
        <v>3</v>
      </c>
      <c r="O64" t="s">
        <v>21</v>
      </c>
    </row>
    <row r="65" spans="1:15" x14ac:dyDescent="0.3">
      <c r="A65" t="s">
        <v>203</v>
      </c>
      <c r="B65" s="3">
        <v>45648</v>
      </c>
      <c r="C65" t="s">
        <v>33</v>
      </c>
      <c r="D65" t="s">
        <v>205</v>
      </c>
      <c r="E65" t="s">
        <v>84</v>
      </c>
      <c r="F65" t="s">
        <v>73</v>
      </c>
      <c r="G65">
        <v>3445.71</v>
      </c>
      <c r="H65">
        <v>2002.62</v>
      </c>
      <c r="I65">
        <v>1443.09</v>
      </c>
      <c r="K65">
        <v>4</v>
      </c>
      <c r="L65" t="s">
        <v>29</v>
      </c>
      <c r="M65" t="s">
        <v>179</v>
      </c>
      <c r="N65">
        <v>4</v>
      </c>
      <c r="O65" t="s">
        <v>21</v>
      </c>
    </row>
    <row r="66" spans="1:15" x14ac:dyDescent="0.3">
      <c r="A66" t="s">
        <v>206</v>
      </c>
      <c r="B66" s="3">
        <v>45543</v>
      </c>
      <c r="C66" t="s">
        <v>7</v>
      </c>
      <c r="D66" t="s">
        <v>55</v>
      </c>
      <c r="E66" t="s">
        <v>84</v>
      </c>
      <c r="F66" t="s">
        <v>20</v>
      </c>
      <c r="G66">
        <v>1728.16</v>
      </c>
      <c r="H66">
        <v>1128.9000000000001</v>
      </c>
      <c r="I66">
        <v>599.26</v>
      </c>
      <c r="K66">
        <v>5</v>
      </c>
      <c r="L66" t="s">
        <v>22</v>
      </c>
      <c r="M66" t="s">
        <v>115</v>
      </c>
      <c r="N66">
        <v>3</v>
      </c>
      <c r="O66" t="s">
        <v>21</v>
      </c>
    </row>
    <row r="67" spans="1:15" x14ac:dyDescent="0.3">
      <c r="A67" t="s">
        <v>208</v>
      </c>
      <c r="B67" s="3">
        <v>45587</v>
      </c>
      <c r="C67" t="s">
        <v>33</v>
      </c>
      <c r="D67" t="s">
        <v>34</v>
      </c>
      <c r="E67" t="s">
        <v>87</v>
      </c>
      <c r="F67" t="s">
        <v>73</v>
      </c>
      <c r="G67">
        <v>3077.06</v>
      </c>
      <c r="H67">
        <v>1927.45</v>
      </c>
      <c r="I67">
        <v>1149.6099999999999</v>
      </c>
      <c r="K67">
        <v>4</v>
      </c>
      <c r="L67" t="s">
        <v>29</v>
      </c>
      <c r="M67" t="s">
        <v>68</v>
      </c>
      <c r="N67">
        <v>4</v>
      </c>
      <c r="O67" t="s">
        <v>21</v>
      </c>
    </row>
    <row r="68" spans="1:15" x14ac:dyDescent="0.3">
      <c r="A68" t="s">
        <v>210</v>
      </c>
      <c r="B68" s="3">
        <v>45445</v>
      </c>
      <c r="C68" t="s">
        <v>17</v>
      </c>
      <c r="D68" t="s">
        <v>26</v>
      </c>
      <c r="E68" t="s">
        <v>35</v>
      </c>
      <c r="F68" t="s">
        <v>36</v>
      </c>
      <c r="G68">
        <v>1631.16</v>
      </c>
      <c r="H68">
        <v>909.81</v>
      </c>
      <c r="I68">
        <v>721.35</v>
      </c>
      <c r="K68">
        <v>4</v>
      </c>
      <c r="L68" t="s">
        <v>29</v>
      </c>
      <c r="M68" t="s">
        <v>64</v>
      </c>
      <c r="N68">
        <v>2</v>
      </c>
      <c r="O68" t="s">
        <v>21</v>
      </c>
    </row>
    <row r="69" spans="1:15" x14ac:dyDescent="0.3">
      <c r="A69" t="s">
        <v>212</v>
      </c>
      <c r="B69" s="3">
        <v>45303</v>
      </c>
      <c r="C69" t="s">
        <v>42</v>
      </c>
      <c r="D69" t="s">
        <v>214</v>
      </c>
      <c r="E69" t="s">
        <v>19</v>
      </c>
      <c r="F69" t="s">
        <v>20</v>
      </c>
      <c r="G69">
        <v>2734.6</v>
      </c>
      <c r="H69">
        <v>2481.75</v>
      </c>
      <c r="I69">
        <v>252.85</v>
      </c>
      <c r="K69">
        <v>4</v>
      </c>
      <c r="L69" t="s">
        <v>22</v>
      </c>
      <c r="M69" t="s">
        <v>25</v>
      </c>
      <c r="N69">
        <v>1</v>
      </c>
      <c r="O69" t="s">
        <v>21</v>
      </c>
    </row>
    <row r="70" spans="1:15" x14ac:dyDescent="0.3">
      <c r="A70" t="s">
        <v>215</v>
      </c>
      <c r="B70" s="3">
        <v>45520</v>
      </c>
      <c r="C70" t="s">
        <v>33</v>
      </c>
      <c r="D70" t="s">
        <v>119</v>
      </c>
      <c r="E70" t="s">
        <v>40</v>
      </c>
      <c r="F70" t="s">
        <v>36</v>
      </c>
      <c r="G70">
        <v>4752.0200000000004</v>
      </c>
      <c r="H70">
        <v>3255.93</v>
      </c>
      <c r="I70">
        <v>1496.09</v>
      </c>
      <c r="K70">
        <v>5</v>
      </c>
      <c r="L70" t="s">
        <v>29</v>
      </c>
      <c r="M70" t="s">
        <v>32</v>
      </c>
      <c r="N70">
        <v>3</v>
      </c>
      <c r="O70" t="s">
        <v>21</v>
      </c>
    </row>
    <row r="71" spans="1:15" x14ac:dyDescent="0.3">
      <c r="A71" t="s">
        <v>217</v>
      </c>
      <c r="B71" s="3">
        <v>45540</v>
      </c>
      <c r="C71" t="s">
        <v>59</v>
      </c>
      <c r="D71" t="s">
        <v>155</v>
      </c>
      <c r="E71" t="s">
        <v>84</v>
      </c>
      <c r="F71" t="s">
        <v>73</v>
      </c>
      <c r="G71">
        <v>243.73</v>
      </c>
      <c r="H71">
        <v>142.76</v>
      </c>
      <c r="I71">
        <v>100.97</v>
      </c>
      <c r="J71">
        <v>5</v>
      </c>
      <c r="K71">
        <v>2</v>
      </c>
      <c r="L71" t="s">
        <v>22</v>
      </c>
      <c r="M71" t="s">
        <v>115</v>
      </c>
      <c r="N71">
        <v>3</v>
      </c>
      <c r="O71" t="s">
        <v>56</v>
      </c>
    </row>
    <row r="72" spans="1:15" x14ac:dyDescent="0.3">
      <c r="A72" t="s">
        <v>219</v>
      </c>
      <c r="B72" s="3">
        <v>45477</v>
      </c>
      <c r="C72" t="s">
        <v>33</v>
      </c>
      <c r="D72" t="s">
        <v>205</v>
      </c>
      <c r="E72" t="s">
        <v>84</v>
      </c>
      <c r="F72" t="s">
        <v>73</v>
      </c>
      <c r="G72">
        <v>2261.42</v>
      </c>
      <c r="H72">
        <v>1619.31</v>
      </c>
      <c r="I72">
        <v>642.11</v>
      </c>
      <c r="K72">
        <v>4</v>
      </c>
      <c r="L72" t="s">
        <v>22</v>
      </c>
      <c r="M72" t="s">
        <v>54</v>
      </c>
      <c r="N72">
        <v>3</v>
      </c>
      <c r="O72" t="s">
        <v>21</v>
      </c>
    </row>
    <row r="73" spans="1:15" x14ac:dyDescent="0.3">
      <c r="A73" t="s">
        <v>220</v>
      </c>
      <c r="B73" s="3">
        <v>45295</v>
      </c>
      <c r="C73" t="s">
        <v>33</v>
      </c>
      <c r="D73" t="s">
        <v>205</v>
      </c>
      <c r="E73" t="s">
        <v>27</v>
      </c>
      <c r="F73" t="s">
        <v>44</v>
      </c>
      <c r="G73">
        <v>3402.48</v>
      </c>
      <c r="H73">
        <v>1916.42</v>
      </c>
      <c r="I73">
        <v>1486.06</v>
      </c>
      <c r="K73">
        <v>3</v>
      </c>
      <c r="L73" t="s">
        <v>29</v>
      </c>
      <c r="M73" t="s">
        <v>25</v>
      </c>
      <c r="N73">
        <v>1</v>
      </c>
      <c r="O73" t="s">
        <v>21</v>
      </c>
    </row>
    <row r="74" spans="1:15" x14ac:dyDescent="0.3">
      <c r="A74" t="s">
        <v>222</v>
      </c>
      <c r="B74" s="3">
        <v>45583</v>
      </c>
      <c r="C74" t="s">
        <v>33</v>
      </c>
      <c r="D74" t="s">
        <v>205</v>
      </c>
      <c r="E74" t="s">
        <v>35</v>
      </c>
      <c r="F74" t="s">
        <v>44</v>
      </c>
      <c r="G74">
        <v>1618.54</v>
      </c>
      <c r="H74">
        <v>1166.8</v>
      </c>
      <c r="I74">
        <v>451.74</v>
      </c>
      <c r="K74">
        <v>4</v>
      </c>
      <c r="L74" t="s">
        <v>22</v>
      </c>
      <c r="M74" t="s">
        <v>68</v>
      </c>
      <c r="N74">
        <v>4</v>
      </c>
      <c r="O74" t="s">
        <v>21</v>
      </c>
    </row>
    <row r="75" spans="1:15" x14ac:dyDescent="0.3">
      <c r="A75" t="s">
        <v>224</v>
      </c>
      <c r="B75" s="3">
        <v>45519</v>
      </c>
      <c r="C75" t="s">
        <v>17</v>
      </c>
      <c r="D75" t="s">
        <v>226</v>
      </c>
      <c r="E75" t="s">
        <v>19</v>
      </c>
      <c r="F75" t="s">
        <v>20</v>
      </c>
      <c r="G75">
        <v>3490.83</v>
      </c>
      <c r="H75">
        <v>2627.3</v>
      </c>
      <c r="I75">
        <v>863.53</v>
      </c>
      <c r="K75">
        <v>4</v>
      </c>
      <c r="L75" t="s">
        <v>22</v>
      </c>
      <c r="M75" t="s">
        <v>32</v>
      </c>
      <c r="N75">
        <v>3</v>
      </c>
      <c r="O75" t="s">
        <v>21</v>
      </c>
    </row>
    <row r="76" spans="1:15" x14ac:dyDescent="0.3">
      <c r="A76" t="s">
        <v>227</v>
      </c>
      <c r="B76" s="3">
        <v>45298</v>
      </c>
      <c r="C76" t="s">
        <v>42</v>
      </c>
      <c r="D76" t="s">
        <v>47</v>
      </c>
      <c r="E76" t="s">
        <v>27</v>
      </c>
      <c r="F76" t="s">
        <v>28</v>
      </c>
      <c r="G76">
        <v>2171.0300000000002</v>
      </c>
      <c r="H76">
        <v>1700.2</v>
      </c>
      <c r="I76">
        <v>470.83</v>
      </c>
      <c r="J76">
        <v>6</v>
      </c>
      <c r="K76">
        <v>4</v>
      </c>
      <c r="L76" t="s">
        <v>29</v>
      </c>
      <c r="M76" t="s">
        <v>25</v>
      </c>
      <c r="N76">
        <v>1</v>
      </c>
      <c r="O76" t="s">
        <v>56</v>
      </c>
    </row>
    <row r="77" spans="1:15" x14ac:dyDescent="0.3">
      <c r="A77" t="s">
        <v>230</v>
      </c>
      <c r="B77" s="3">
        <v>45375</v>
      </c>
      <c r="C77" t="s">
        <v>59</v>
      </c>
      <c r="D77" t="s">
        <v>116</v>
      </c>
      <c r="E77" t="s">
        <v>87</v>
      </c>
      <c r="F77" t="s">
        <v>73</v>
      </c>
      <c r="G77">
        <v>3010.3</v>
      </c>
      <c r="H77">
        <v>2242.5500000000002</v>
      </c>
      <c r="I77">
        <v>767.75</v>
      </c>
      <c r="K77">
        <v>5</v>
      </c>
      <c r="L77" t="s">
        <v>22</v>
      </c>
      <c r="M77" t="s">
        <v>76</v>
      </c>
      <c r="N77">
        <v>1</v>
      </c>
      <c r="O77" t="s">
        <v>21</v>
      </c>
    </row>
    <row r="78" spans="1:15" x14ac:dyDescent="0.3">
      <c r="A78" t="s">
        <v>232</v>
      </c>
      <c r="B78" s="3">
        <v>45370</v>
      </c>
      <c r="C78" t="s">
        <v>42</v>
      </c>
      <c r="D78" t="s">
        <v>162</v>
      </c>
      <c r="E78" t="s">
        <v>84</v>
      </c>
      <c r="F78" t="s">
        <v>28</v>
      </c>
      <c r="G78">
        <v>1177.76</v>
      </c>
      <c r="H78">
        <v>929.96</v>
      </c>
      <c r="I78">
        <v>247.8</v>
      </c>
      <c r="J78">
        <v>5</v>
      </c>
      <c r="K78">
        <v>3</v>
      </c>
      <c r="L78" t="s">
        <v>29</v>
      </c>
      <c r="M78" t="s">
        <v>76</v>
      </c>
      <c r="N78">
        <v>1</v>
      </c>
      <c r="O78" t="s">
        <v>56</v>
      </c>
    </row>
    <row r="79" spans="1:15" x14ac:dyDescent="0.3">
      <c r="A79" t="s">
        <v>233</v>
      </c>
      <c r="B79" s="3">
        <v>45602</v>
      </c>
      <c r="C79" t="s">
        <v>17</v>
      </c>
      <c r="D79" t="s">
        <v>96</v>
      </c>
      <c r="E79" t="s">
        <v>40</v>
      </c>
      <c r="F79" t="s">
        <v>20</v>
      </c>
      <c r="G79">
        <v>2357.56</v>
      </c>
      <c r="H79">
        <v>1636.17</v>
      </c>
      <c r="I79">
        <v>721.39</v>
      </c>
      <c r="J79">
        <v>6</v>
      </c>
      <c r="K79">
        <v>3</v>
      </c>
      <c r="L79" t="s">
        <v>22</v>
      </c>
      <c r="M79" t="s">
        <v>111</v>
      </c>
      <c r="N79">
        <v>4</v>
      </c>
      <c r="O79" t="s">
        <v>56</v>
      </c>
    </row>
    <row r="80" spans="1:15" x14ac:dyDescent="0.3">
      <c r="A80" t="s">
        <v>234</v>
      </c>
      <c r="B80" s="3">
        <v>45449</v>
      </c>
      <c r="C80" t="s">
        <v>42</v>
      </c>
      <c r="D80" t="s">
        <v>47</v>
      </c>
      <c r="E80" t="s">
        <v>40</v>
      </c>
      <c r="F80" t="s">
        <v>36</v>
      </c>
      <c r="G80">
        <v>2162.41</v>
      </c>
      <c r="H80">
        <v>1976.19</v>
      </c>
      <c r="I80">
        <v>186.22</v>
      </c>
      <c r="K80">
        <v>4</v>
      </c>
      <c r="L80" t="s">
        <v>29</v>
      </c>
      <c r="M80" t="s">
        <v>64</v>
      </c>
      <c r="N80">
        <v>2</v>
      </c>
      <c r="O80" t="s">
        <v>21</v>
      </c>
    </row>
    <row r="81" spans="1:15" x14ac:dyDescent="0.3">
      <c r="A81" t="s">
        <v>236</v>
      </c>
      <c r="B81" s="3">
        <v>45346</v>
      </c>
      <c r="C81" t="s">
        <v>17</v>
      </c>
      <c r="D81" t="s">
        <v>51</v>
      </c>
      <c r="E81" t="s">
        <v>27</v>
      </c>
      <c r="F81" t="s">
        <v>28</v>
      </c>
      <c r="G81">
        <v>906.48</v>
      </c>
      <c r="H81">
        <v>644.49</v>
      </c>
      <c r="I81">
        <v>261.99</v>
      </c>
      <c r="K81">
        <v>3</v>
      </c>
      <c r="L81" t="s">
        <v>29</v>
      </c>
      <c r="M81" t="s">
        <v>124</v>
      </c>
      <c r="N81">
        <v>1</v>
      </c>
      <c r="O81" t="s">
        <v>21</v>
      </c>
    </row>
    <row r="82" spans="1:15" x14ac:dyDescent="0.3">
      <c r="A82" t="s">
        <v>238</v>
      </c>
      <c r="B82" s="3">
        <v>45417</v>
      </c>
      <c r="C82" t="s">
        <v>42</v>
      </c>
      <c r="D82" t="s">
        <v>77</v>
      </c>
      <c r="E82" t="s">
        <v>40</v>
      </c>
      <c r="F82" t="s">
        <v>36</v>
      </c>
      <c r="G82">
        <v>666.36</v>
      </c>
      <c r="H82">
        <v>547.87</v>
      </c>
      <c r="I82">
        <v>118.49</v>
      </c>
      <c r="J82">
        <v>7</v>
      </c>
      <c r="K82">
        <v>3</v>
      </c>
      <c r="L82" t="s">
        <v>29</v>
      </c>
      <c r="M82" t="s">
        <v>104</v>
      </c>
      <c r="N82">
        <v>2</v>
      </c>
      <c r="O82" t="s">
        <v>56</v>
      </c>
    </row>
    <row r="83" spans="1:15" x14ac:dyDescent="0.3">
      <c r="A83" t="s">
        <v>240</v>
      </c>
      <c r="B83" s="3">
        <v>45370</v>
      </c>
      <c r="C83" t="s">
        <v>33</v>
      </c>
      <c r="D83" t="s">
        <v>105</v>
      </c>
      <c r="E83" t="s">
        <v>35</v>
      </c>
      <c r="F83" t="s">
        <v>36</v>
      </c>
      <c r="G83">
        <v>2049.12</v>
      </c>
      <c r="H83">
        <v>1636.43</v>
      </c>
      <c r="I83">
        <v>412.69</v>
      </c>
      <c r="K83">
        <v>5</v>
      </c>
      <c r="L83" t="s">
        <v>22</v>
      </c>
      <c r="M83" t="s">
        <v>76</v>
      </c>
      <c r="N83">
        <v>1</v>
      </c>
      <c r="O83" t="s">
        <v>21</v>
      </c>
    </row>
    <row r="84" spans="1:15" x14ac:dyDescent="0.3">
      <c r="A84" t="s">
        <v>242</v>
      </c>
      <c r="B84" s="3">
        <v>45585</v>
      </c>
      <c r="C84" t="s">
        <v>59</v>
      </c>
      <c r="D84" t="s">
        <v>108</v>
      </c>
      <c r="E84" t="s">
        <v>40</v>
      </c>
      <c r="F84" t="s">
        <v>20</v>
      </c>
      <c r="G84">
        <v>2384.0700000000002</v>
      </c>
      <c r="H84">
        <v>1787.8</v>
      </c>
      <c r="I84">
        <v>596.27</v>
      </c>
      <c r="K84">
        <v>4</v>
      </c>
      <c r="L84" t="s">
        <v>29</v>
      </c>
      <c r="M84" t="s">
        <v>68</v>
      </c>
      <c r="N84">
        <v>4</v>
      </c>
      <c r="O84" t="s">
        <v>21</v>
      </c>
    </row>
    <row r="85" spans="1:15" x14ac:dyDescent="0.3">
      <c r="A85" t="s">
        <v>245</v>
      </c>
      <c r="B85" s="3">
        <v>45582</v>
      </c>
      <c r="C85" t="s">
        <v>33</v>
      </c>
      <c r="D85" t="s">
        <v>171</v>
      </c>
      <c r="E85" t="s">
        <v>40</v>
      </c>
      <c r="F85" t="s">
        <v>73</v>
      </c>
      <c r="G85">
        <v>2726.19</v>
      </c>
      <c r="H85">
        <v>1676.68</v>
      </c>
      <c r="I85">
        <v>1049.51</v>
      </c>
      <c r="K85">
        <v>4</v>
      </c>
      <c r="L85" t="s">
        <v>22</v>
      </c>
      <c r="M85" t="s">
        <v>68</v>
      </c>
      <c r="N85">
        <v>4</v>
      </c>
      <c r="O85" t="s">
        <v>21</v>
      </c>
    </row>
    <row r="86" spans="1:15" x14ac:dyDescent="0.3">
      <c r="A86" t="s">
        <v>247</v>
      </c>
      <c r="B86" s="3">
        <v>45326</v>
      </c>
      <c r="C86" t="s">
        <v>7</v>
      </c>
      <c r="D86" t="s">
        <v>128</v>
      </c>
      <c r="E86" t="s">
        <v>19</v>
      </c>
      <c r="F86" t="s">
        <v>36</v>
      </c>
      <c r="G86">
        <v>2411.96</v>
      </c>
      <c r="H86">
        <v>1468.4</v>
      </c>
      <c r="I86">
        <v>943.56</v>
      </c>
      <c r="K86">
        <v>4</v>
      </c>
      <c r="L86" t="s">
        <v>29</v>
      </c>
      <c r="M86" t="s">
        <v>124</v>
      </c>
      <c r="N86">
        <v>1</v>
      </c>
      <c r="O86" t="s">
        <v>21</v>
      </c>
    </row>
    <row r="87" spans="1:15" x14ac:dyDescent="0.3">
      <c r="A87" t="s">
        <v>249</v>
      </c>
      <c r="B87" s="3">
        <v>45298</v>
      </c>
      <c r="C87" t="s">
        <v>33</v>
      </c>
      <c r="D87" t="s">
        <v>171</v>
      </c>
      <c r="E87" t="s">
        <v>84</v>
      </c>
      <c r="F87" t="s">
        <v>36</v>
      </c>
      <c r="G87">
        <v>1019.06</v>
      </c>
      <c r="H87">
        <v>744.2</v>
      </c>
      <c r="I87">
        <v>274.86</v>
      </c>
      <c r="K87">
        <v>5</v>
      </c>
      <c r="L87" t="s">
        <v>22</v>
      </c>
      <c r="M87" t="s">
        <v>25</v>
      </c>
      <c r="N87">
        <v>1</v>
      </c>
      <c r="O87" t="s">
        <v>21</v>
      </c>
    </row>
    <row r="88" spans="1:15" x14ac:dyDescent="0.3">
      <c r="A88" t="s">
        <v>250</v>
      </c>
      <c r="B88" s="3">
        <v>45298</v>
      </c>
      <c r="C88" t="s">
        <v>7</v>
      </c>
      <c r="D88" t="s">
        <v>134</v>
      </c>
      <c r="E88" t="s">
        <v>87</v>
      </c>
      <c r="F88" t="s">
        <v>73</v>
      </c>
      <c r="G88">
        <v>725.31</v>
      </c>
      <c r="H88">
        <v>485.44</v>
      </c>
      <c r="I88">
        <v>239.87</v>
      </c>
      <c r="K88">
        <v>5</v>
      </c>
      <c r="L88" t="s">
        <v>22</v>
      </c>
      <c r="M88" t="s">
        <v>25</v>
      </c>
      <c r="N88">
        <v>1</v>
      </c>
      <c r="O88" t="s">
        <v>21</v>
      </c>
    </row>
    <row r="89" spans="1:15" x14ac:dyDescent="0.3">
      <c r="A89" t="s">
        <v>252</v>
      </c>
      <c r="B89" s="3">
        <v>45657</v>
      </c>
      <c r="C89" t="s">
        <v>7</v>
      </c>
      <c r="D89" t="s">
        <v>185</v>
      </c>
      <c r="E89" t="s">
        <v>87</v>
      </c>
      <c r="F89" t="s">
        <v>20</v>
      </c>
      <c r="G89">
        <v>984.02</v>
      </c>
      <c r="H89">
        <v>730.94</v>
      </c>
      <c r="I89">
        <v>253.08</v>
      </c>
      <c r="K89">
        <v>3</v>
      </c>
      <c r="L89" t="s">
        <v>22</v>
      </c>
      <c r="M89" t="s">
        <v>179</v>
      </c>
      <c r="N89">
        <v>4</v>
      </c>
      <c r="O89" t="s">
        <v>21</v>
      </c>
    </row>
    <row r="90" spans="1:15" x14ac:dyDescent="0.3">
      <c r="A90" t="s">
        <v>254</v>
      </c>
      <c r="B90" s="3">
        <v>45441</v>
      </c>
      <c r="C90" t="s">
        <v>7</v>
      </c>
      <c r="D90" t="s">
        <v>182</v>
      </c>
      <c r="E90" t="s">
        <v>35</v>
      </c>
      <c r="F90" t="s">
        <v>44</v>
      </c>
      <c r="G90">
        <v>1023.69</v>
      </c>
      <c r="H90">
        <v>584.79</v>
      </c>
      <c r="I90">
        <v>438.9</v>
      </c>
      <c r="K90">
        <v>4</v>
      </c>
      <c r="L90" t="s">
        <v>22</v>
      </c>
      <c r="M90" t="s">
        <v>104</v>
      </c>
      <c r="N90">
        <v>2</v>
      </c>
      <c r="O90" t="s">
        <v>21</v>
      </c>
    </row>
    <row r="91" spans="1:15" x14ac:dyDescent="0.3">
      <c r="A91" t="s">
        <v>256</v>
      </c>
      <c r="B91" s="3">
        <v>45309</v>
      </c>
      <c r="C91" t="s">
        <v>42</v>
      </c>
      <c r="D91" t="s">
        <v>80</v>
      </c>
      <c r="E91" t="s">
        <v>87</v>
      </c>
      <c r="F91" t="s">
        <v>36</v>
      </c>
      <c r="G91">
        <v>2948.52</v>
      </c>
      <c r="H91">
        <v>2218.2399999999998</v>
      </c>
      <c r="I91">
        <v>730.28</v>
      </c>
      <c r="J91">
        <v>12</v>
      </c>
      <c r="K91">
        <v>1</v>
      </c>
      <c r="L91" t="s">
        <v>22</v>
      </c>
      <c r="M91" t="s">
        <v>25</v>
      </c>
      <c r="N91">
        <v>1</v>
      </c>
      <c r="O91" t="s">
        <v>56</v>
      </c>
    </row>
    <row r="92" spans="1:15" x14ac:dyDescent="0.3">
      <c r="A92" t="s">
        <v>258</v>
      </c>
      <c r="B92" s="3">
        <v>45591</v>
      </c>
      <c r="C92" t="s">
        <v>33</v>
      </c>
      <c r="D92" t="s">
        <v>93</v>
      </c>
      <c r="E92" t="s">
        <v>40</v>
      </c>
      <c r="F92" t="s">
        <v>20</v>
      </c>
      <c r="G92">
        <v>1821.07</v>
      </c>
      <c r="H92">
        <v>1194.3599999999999</v>
      </c>
      <c r="I92">
        <v>626.71</v>
      </c>
      <c r="K92">
        <v>5</v>
      </c>
      <c r="L92" t="s">
        <v>22</v>
      </c>
      <c r="M92" t="s">
        <v>68</v>
      </c>
      <c r="N92">
        <v>4</v>
      </c>
      <c r="O92" t="s">
        <v>21</v>
      </c>
    </row>
    <row r="93" spans="1:15" x14ac:dyDescent="0.3">
      <c r="A93" t="s">
        <v>260</v>
      </c>
      <c r="B93" s="3">
        <v>45531</v>
      </c>
      <c r="C93" t="s">
        <v>42</v>
      </c>
      <c r="D93" t="s">
        <v>262</v>
      </c>
      <c r="E93" t="s">
        <v>19</v>
      </c>
      <c r="F93" t="s">
        <v>73</v>
      </c>
      <c r="G93">
        <v>973.09</v>
      </c>
      <c r="H93">
        <v>839.25</v>
      </c>
      <c r="I93">
        <v>133.84</v>
      </c>
      <c r="J93">
        <v>3</v>
      </c>
      <c r="K93">
        <v>4</v>
      </c>
      <c r="L93" t="s">
        <v>29</v>
      </c>
      <c r="M93" t="s">
        <v>32</v>
      </c>
      <c r="N93">
        <v>3</v>
      </c>
      <c r="O93" t="s">
        <v>56</v>
      </c>
    </row>
    <row r="94" spans="1:15" x14ac:dyDescent="0.3">
      <c r="A94" t="s">
        <v>263</v>
      </c>
      <c r="B94" s="3">
        <v>45568</v>
      </c>
      <c r="C94" t="s">
        <v>17</v>
      </c>
      <c r="D94" t="s">
        <v>51</v>
      </c>
      <c r="E94" t="s">
        <v>40</v>
      </c>
      <c r="F94" t="s">
        <v>20</v>
      </c>
      <c r="G94">
        <v>3281.77</v>
      </c>
      <c r="H94">
        <v>2255.02</v>
      </c>
      <c r="I94">
        <v>1026.75</v>
      </c>
      <c r="K94">
        <v>3</v>
      </c>
      <c r="L94" t="s">
        <v>22</v>
      </c>
      <c r="M94" t="s">
        <v>68</v>
      </c>
      <c r="N94">
        <v>4</v>
      </c>
      <c r="O94" t="s">
        <v>21</v>
      </c>
    </row>
    <row r="95" spans="1:15" x14ac:dyDescent="0.3">
      <c r="A95" t="s">
        <v>265</v>
      </c>
      <c r="B95" s="3">
        <v>45318</v>
      </c>
      <c r="C95" t="s">
        <v>17</v>
      </c>
      <c r="D95" t="s">
        <v>72</v>
      </c>
      <c r="E95" t="s">
        <v>35</v>
      </c>
      <c r="F95" t="s">
        <v>36</v>
      </c>
      <c r="G95">
        <v>2348.67</v>
      </c>
      <c r="H95">
        <v>1463.08</v>
      </c>
      <c r="I95">
        <v>885.59</v>
      </c>
      <c r="J95">
        <v>5</v>
      </c>
      <c r="K95">
        <v>2</v>
      </c>
      <c r="L95" t="s">
        <v>22</v>
      </c>
      <c r="M95" t="s">
        <v>25</v>
      </c>
      <c r="N95">
        <v>1</v>
      </c>
      <c r="O95" t="s">
        <v>56</v>
      </c>
    </row>
    <row r="96" spans="1:15" x14ac:dyDescent="0.3">
      <c r="A96" t="s">
        <v>267</v>
      </c>
      <c r="B96" s="3">
        <v>45584</v>
      </c>
      <c r="C96" t="s">
        <v>33</v>
      </c>
      <c r="D96" t="s">
        <v>119</v>
      </c>
      <c r="E96" t="s">
        <v>40</v>
      </c>
      <c r="F96" t="s">
        <v>36</v>
      </c>
      <c r="G96">
        <v>935.46</v>
      </c>
      <c r="H96">
        <v>527.47</v>
      </c>
      <c r="I96">
        <v>407.99</v>
      </c>
      <c r="K96">
        <v>5</v>
      </c>
      <c r="L96" t="s">
        <v>22</v>
      </c>
      <c r="M96" t="s">
        <v>68</v>
      </c>
      <c r="N96">
        <v>4</v>
      </c>
      <c r="O96" t="s">
        <v>21</v>
      </c>
    </row>
    <row r="97" spans="1:15" x14ac:dyDescent="0.3">
      <c r="A97" t="s">
        <v>269</v>
      </c>
      <c r="B97" s="3">
        <v>45361</v>
      </c>
      <c r="C97" t="s">
        <v>33</v>
      </c>
      <c r="D97" t="s">
        <v>34</v>
      </c>
      <c r="E97" t="s">
        <v>27</v>
      </c>
      <c r="F97" t="s">
        <v>36</v>
      </c>
      <c r="G97">
        <v>1419.35</v>
      </c>
      <c r="H97">
        <v>1086.77</v>
      </c>
      <c r="I97">
        <v>332.58</v>
      </c>
      <c r="K97">
        <v>4</v>
      </c>
      <c r="L97" t="s">
        <v>22</v>
      </c>
      <c r="M97" t="s">
        <v>76</v>
      </c>
      <c r="N97">
        <v>1</v>
      </c>
      <c r="O97" t="s">
        <v>21</v>
      </c>
    </row>
    <row r="98" spans="1:15" x14ac:dyDescent="0.3">
      <c r="A98" t="s">
        <v>270</v>
      </c>
      <c r="B98" s="3">
        <v>45627</v>
      </c>
      <c r="C98" t="s">
        <v>7</v>
      </c>
      <c r="D98" t="s">
        <v>69</v>
      </c>
      <c r="E98" t="s">
        <v>27</v>
      </c>
      <c r="F98" t="s">
        <v>36</v>
      </c>
      <c r="G98">
        <v>4338.22</v>
      </c>
      <c r="H98">
        <v>3233.63</v>
      </c>
      <c r="I98">
        <v>1104.5899999999999</v>
      </c>
      <c r="K98">
        <v>5</v>
      </c>
      <c r="L98" t="s">
        <v>22</v>
      </c>
      <c r="M98" t="s">
        <v>179</v>
      </c>
      <c r="N98">
        <v>4</v>
      </c>
      <c r="O98" t="s">
        <v>21</v>
      </c>
    </row>
    <row r="99" spans="1:15" x14ac:dyDescent="0.3">
      <c r="A99" t="s">
        <v>272</v>
      </c>
      <c r="B99" s="3">
        <v>45483</v>
      </c>
      <c r="C99" t="s">
        <v>42</v>
      </c>
      <c r="D99" t="s">
        <v>214</v>
      </c>
      <c r="E99" t="s">
        <v>27</v>
      </c>
      <c r="F99" t="s">
        <v>28</v>
      </c>
      <c r="G99">
        <v>972.87</v>
      </c>
      <c r="H99">
        <v>784.67</v>
      </c>
      <c r="I99">
        <v>188.2</v>
      </c>
      <c r="K99">
        <v>4</v>
      </c>
      <c r="L99" t="s">
        <v>29</v>
      </c>
      <c r="M99" t="s">
        <v>54</v>
      </c>
      <c r="N99">
        <v>3</v>
      </c>
      <c r="O99" t="s">
        <v>21</v>
      </c>
    </row>
    <row r="100" spans="1:15" x14ac:dyDescent="0.3">
      <c r="A100" t="s">
        <v>273</v>
      </c>
      <c r="B100" s="3">
        <v>45306</v>
      </c>
      <c r="C100" t="s">
        <v>7</v>
      </c>
      <c r="D100" t="s">
        <v>55</v>
      </c>
      <c r="E100" t="s">
        <v>27</v>
      </c>
      <c r="F100" t="s">
        <v>44</v>
      </c>
      <c r="G100">
        <v>1757.89</v>
      </c>
      <c r="H100">
        <v>1321.96</v>
      </c>
      <c r="I100">
        <v>435.93</v>
      </c>
      <c r="K100">
        <v>4</v>
      </c>
      <c r="L100" t="s">
        <v>22</v>
      </c>
      <c r="M100" t="s">
        <v>25</v>
      </c>
      <c r="N100">
        <v>1</v>
      </c>
      <c r="O100" t="s">
        <v>21</v>
      </c>
    </row>
    <row r="101" spans="1:15" x14ac:dyDescent="0.3">
      <c r="A101" t="s">
        <v>275</v>
      </c>
      <c r="B101" s="3">
        <v>45527</v>
      </c>
      <c r="C101" t="s">
        <v>42</v>
      </c>
      <c r="D101" t="s">
        <v>80</v>
      </c>
      <c r="E101" t="s">
        <v>40</v>
      </c>
      <c r="F101" t="s">
        <v>36</v>
      </c>
      <c r="G101">
        <v>4512.82</v>
      </c>
      <c r="H101">
        <v>3491.68</v>
      </c>
      <c r="I101">
        <v>1021.14</v>
      </c>
      <c r="K101">
        <v>4</v>
      </c>
      <c r="L101" t="s">
        <v>22</v>
      </c>
      <c r="M101" t="s">
        <v>32</v>
      </c>
      <c r="N101">
        <v>3</v>
      </c>
      <c r="O101" t="s">
        <v>21</v>
      </c>
    </row>
    <row r="102" spans="1:15" x14ac:dyDescent="0.3">
      <c r="A102" t="s">
        <v>278</v>
      </c>
      <c r="B102" s="3">
        <v>45559</v>
      </c>
      <c r="C102" t="s">
        <v>7</v>
      </c>
      <c r="D102" t="s">
        <v>185</v>
      </c>
      <c r="E102" t="s">
        <v>40</v>
      </c>
      <c r="F102" t="s">
        <v>73</v>
      </c>
      <c r="G102">
        <v>3406.23</v>
      </c>
      <c r="H102">
        <v>2634.5</v>
      </c>
      <c r="I102">
        <v>771.73</v>
      </c>
      <c r="K102">
        <v>4</v>
      </c>
      <c r="L102" t="s">
        <v>29</v>
      </c>
      <c r="M102" t="s">
        <v>115</v>
      </c>
      <c r="N102">
        <v>3</v>
      </c>
      <c r="O102" t="s">
        <v>21</v>
      </c>
    </row>
    <row r="103" spans="1:15" x14ac:dyDescent="0.3">
      <c r="A103" t="s">
        <v>280</v>
      </c>
      <c r="B103" s="3">
        <v>45488</v>
      </c>
      <c r="C103" t="s">
        <v>42</v>
      </c>
      <c r="D103" t="s">
        <v>43</v>
      </c>
      <c r="E103" t="s">
        <v>35</v>
      </c>
      <c r="F103" t="s">
        <v>36</v>
      </c>
      <c r="G103">
        <v>3201.55</v>
      </c>
      <c r="H103">
        <v>2515.85</v>
      </c>
      <c r="I103">
        <v>685.7</v>
      </c>
      <c r="K103">
        <v>3</v>
      </c>
      <c r="L103" t="s">
        <v>22</v>
      </c>
      <c r="M103" t="s">
        <v>54</v>
      </c>
      <c r="N103">
        <v>3</v>
      </c>
      <c r="O103" t="s">
        <v>21</v>
      </c>
    </row>
    <row r="104" spans="1:15" x14ac:dyDescent="0.3">
      <c r="A104" t="s">
        <v>282</v>
      </c>
      <c r="B104" s="3">
        <v>45404</v>
      </c>
      <c r="C104" t="s">
        <v>17</v>
      </c>
      <c r="D104" t="s">
        <v>100</v>
      </c>
      <c r="E104" t="s">
        <v>35</v>
      </c>
      <c r="F104" t="s">
        <v>73</v>
      </c>
      <c r="G104">
        <v>3491.04</v>
      </c>
      <c r="H104">
        <v>2040.8</v>
      </c>
      <c r="I104">
        <v>1450.24</v>
      </c>
      <c r="J104">
        <v>5</v>
      </c>
      <c r="K104">
        <v>4</v>
      </c>
      <c r="L104" t="s">
        <v>22</v>
      </c>
      <c r="M104" t="s">
        <v>16</v>
      </c>
      <c r="N104">
        <v>2</v>
      </c>
      <c r="O104" t="s">
        <v>56</v>
      </c>
    </row>
    <row r="105" spans="1:15" x14ac:dyDescent="0.3">
      <c r="A105" t="s">
        <v>284</v>
      </c>
      <c r="B105" s="3">
        <v>45363</v>
      </c>
      <c r="C105" t="s">
        <v>7</v>
      </c>
      <c r="D105" t="s">
        <v>65</v>
      </c>
      <c r="E105" t="s">
        <v>87</v>
      </c>
      <c r="F105" t="s">
        <v>28</v>
      </c>
      <c r="G105">
        <v>631.70000000000005</v>
      </c>
      <c r="H105">
        <v>477.32</v>
      </c>
      <c r="I105">
        <v>154.38</v>
      </c>
      <c r="K105">
        <v>4</v>
      </c>
      <c r="L105" t="s">
        <v>22</v>
      </c>
      <c r="M105" t="s">
        <v>76</v>
      </c>
      <c r="N105">
        <v>1</v>
      </c>
      <c r="O105" t="s">
        <v>21</v>
      </c>
    </row>
    <row r="106" spans="1:15" x14ac:dyDescent="0.3">
      <c r="A106" t="s">
        <v>286</v>
      </c>
      <c r="B106" s="3">
        <v>45637</v>
      </c>
      <c r="C106" t="s">
        <v>42</v>
      </c>
      <c r="D106" t="s">
        <v>43</v>
      </c>
      <c r="E106" t="s">
        <v>27</v>
      </c>
      <c r="F106" t="s">
        <v>36</v>
      </c>
      <c r="G106">
        <v>2715.61</v>
      </c>
      <c r="H106">
        <v>1929.46</v>
      </c>
      <c r="I106">
        <v>786.15</v>
      </c>
      <c r="K106">
        <v>2</v>
      </c>
      <c r="L106" t="s">
        <v>29</v>
      </c>
      <c r="M106" t="s">
        <v>179</v>
      </c>
      <c r="N106">
        <v>4</v>
      </c>
      <c r="O106" t="s">
        <v>21</v>
      </c>
    </row>
    <row r="107" spans="1:15" x14ac:dyDescent="0.3">
      <c r="A107" t="s">
        <v>288</v>
      </c>
      <c r="B107" s="3">
        <v>45524</v>
      </c>
      <c r="C107" t="s">
        <v>33</v>
      </c>
      <c r="D107" t="s">
        <v>105</v>
      </c>
      <c r="E107" t="s">
        <v>84</v>
      </c>
      <c r="F107" t="s">
        <v>73</v>
      </c>
      <c r="G107">
        <v>1057.57</v>
      </c>
      <c r="H107">
        <v>648.13</v>
      </c>
      <c r="I107">
        <v>409.44</v>
      </c>
      <c r="K107">
        <v>5</v>
      </c>
      <c r="L107" t="s">
        <v>22</v>
      </c>
      <c r="M107" t="s">
        <v>32</v>
      </c>
      <c r="N107">
        <v>3</v>
      </c>
      <c r="O107" t="s">
        <v>21</v>
      </c>
    </row>
    <row r="108" spans="1:15" x14ac:dyDescent="0.3">
      <c r="A108" t="s">
        <v>290</v>
      </c>
      <c r="B108" s="3">
        <v>45349</v>
      </c>
      <c r="C108" t="s">
        <v>33</v>
      </c>
      <c r="D108" t="s">
        <v>39</v>
      </c>
      <c r="E108" t="s">
        <v>35</v>
      </c>
      <c r="F108" t="s">
        <v>36</v>
      </c>
      <c r="G108">
        <v>3211.5</v>
      </c>
      <c r="H108">
        <v>2247.25</v>
      </c>
      <c r="I108">
        <v>964.25</v>
      </c>
      <c r="J108">
        <v>8</v>
      </c>
      <c r="K108">
        <v>2</v>
      </c>
      <c r="L108" t="s">
        <v>29</v>
      </c>
      <c r="M108" t="s">
        <v>124</v>
      </c>
      <c r="N108">
        <v>1</v>
      </c>
      <c r="O108" t="s">
        <v>56</v>
      </c>
    </row>
    <row r="109" spans="1:15" x14ac:dyDescent="0.3">
      <c r="A109" t="s">
        <v>292</v>
      </c>
      <c r="B109" s="3">
        <v>45362</v>
      </c>
      <c r="C109" t="s">
        <v>59</v>
      </c>
      <c r="D109" t="s">
        <v>1698</v>
      </c>
      <c r="E109" t="s">
        <v>19</v>
      </c>
      <c r="F109" t="s">
        <v>28</v>
      </c>
      <c r="G109">
        <v>3494.66</v>
      </c>
      <c r="H109">
        <v>2579.39</v>
      </c>
      <c r="I109">
        <v>915.27</v>
      </c>
      <c r="J109">
        <v>6</v>
      </c>
      <c r="K109">
        <v>4</v>
      </c>
      <c r="L109" t="s">
        <v>22</v>
      </c>
      <c r="M109" t="s">
        <v>76</v>
      </c>
      <c r="N109">
        <v>1</v>
      </c>
      <c r="O109" t="s">
        <v>56</v>
      </c>
    </row>
    <row r="110" spans="1:15" x14ac:dyDescent="0.3">
      <c r="A110" t="s">
        <v>294</v>
      </c>
      <c r="B110" s="3">
        <v>45413</v>
      </c>
      <c r="C110" t="s">
        <v>17</v>
      </c>
      <c r="D110" t="s">
        <v>100</v>
      </c>
      <c r="E110" t="s">
        <v>19</v>
      </c>
      <c r="F110" t="s">
        <v>44</v>
      </c>
      <c r="G110">
        <v>3243.42</v>
      </c>
      <c r="H110">
        <v>2268.83</v>
      </c>
      <c r="I110">
        <v>974.59</v>
      </c>
      <c r="K110">
        <v>4</v>
      </c>
      <c r="L110" t="s">
        <v>22</v>
      </c>
      <c r="M110" t="s">
        <v>104</v>
      </c>
      <c r="N110">
        <v>2</v>
      </c>
      <c r="O110" t="s">
        <v>21</v>
      </c>
    </row>
    <row r="111" spans="1:15" x14ac:dyDescent="0.3">
      <c r="A111" t="s">
        <v>295</v>
      </c>
      <c r="B111" s="3">
        <v>45382</v>
      </c>
      <c r="C111" t="s">
        <v>33</v>
      </c>
      <c r="D111" t="s">
        <v>297</v>
      </c>
      <c r="E111" t="s">
        <v>84</v>
      </c>
      <c r="F111" t="s">
        <v>44</v>
      </c>
      <c r="G111">
        <v>1250.94</v>
      </c>
      <c r="H111">
        <v>839.16</v>
      </c>
      <c r="I111">
        <v>411.78</v>
      </c>
      <c r="K111">
        <v>5</v>
      </c>
      <c r="L111" t="s">
        <v>29</v>
      </c>
      <c r="M111" t="s">
        <v>76</v>
      </c>
      <c r="N111">
        <v>1</v>
      </c>
      <c r="O111" t="s">
        <v>21</v>
      </c>
    </row>
    <row r="112" spans="1:15" x14ac:dyDescent="0.3">
      <c r="A112" t="s">
        <v>298</v>
      </c>
      <c r="B112" s="3">
        <v>45363</v>
      </c>
      <c r="C112" t="s">
        <v>33</v>
      </c>
      <c r="D112" t="s">
        <v>105</v>
      </c>
      <c r="E112" t="s">
        <v>87</v>
      </c>
      <c r="F112" t="s">
        <v>299</v>
      </c>
      <c r="G112">
        <v>3135.85</v>
      </c>
      <c r="H112">
        <v>1878.71</v>
      </c>
      <c r="I112">
        <v>1257.1400000000001</v>
      </c>
      <c r="K112">
        <v>5</v>
      </c>
      <c r="L112" t="s">
        <v>22</v>
      </c>
      <c r="M112" t="s">
        <v>76</v>
      </c>
      <c r="N112">
        <v>1</v>
      </c>
      <c r="O112" t="s">
        <v>21</v>
      </c>
    </row>
    <row r="113" spans="1:15" x14ac:dyDescent="0.3">
      <c r="A113" t="s">
        <v>300</v>
      </c>
      <c r="B113" s="3">
        <v>45494</v>
      </c>
      <c r="C113" t="s">
        <v>59</v>
      </c>
      <c r="D113" t="s">
        <v>301</v>
      </c>
      <c r="E113" t="s">
        <v>27</v>
      </c>
      <c r="F113" t="s">
        <v>20</v>
      </c>
      <c r="G113">
        <v>2113.16</v>
      </c>
      <c r="H113">
        <v>1340.04</v>
      </c>
      <c r="I113">
        <v>773.12</v>
      </c>
      <c r="J113">
        <v>7</v>
      </c>
      <c r="K113">
        <v>4</v>
      </c>
      <c r="L113" t="s">
        <v>22</v>
      </c>
      <c r="M113" t="s">
        <v>54</v>
      </c>
      <c r="N113">
        <v>3</v>
      </c>
      <c r="O113" t="s">
        <v>56</v>
      </c>
    </row>
    <row r="114" spans="1:15" x14ac:dyDescent="0.3">
      <c r="A114" t="s">
        <v>302</v>
      </c>
      <c r="B114" s="3">
        <v>45537</v>
      </c>
      <c r="C114" t="s">
        <v>7</v>
      </c>
      <c r="D114" t="s">
        <v>1698</v>
      </c>
      <c r="E114" t="s">
        <v>1716</v>
      </c>
      <c r="F114" t="s">
        <v>73</v>
      </c>
      <c r="G114">
        <v>1625.57</v>
      </c>
      <c r="H114">
        <v>968.99</v>
      </c>
      <c r="I114">
        <v>656.58</v>
      </c>
      <c r="J114">
        <v>3</v>
      </c>
      <c r="K114">
        <v>2</v>
      </c>
      <c r="L114" t="s">
        <v>29</v>
      </c>
      <c r="M114" t="s">
        <v>115</v>
      </c>
      <c r="N114">
        <v>3</v>
      </c>
      <c r="O114" t="s">
        <v>56</v>
      </c>
    </row>
    <row r="115" spans="1:15" x14ac:dyDescent="0.3">
      <c r="A115" t="s">
        <v>304</v>
      </c>
      <c r="B115" s="3">
        <v>45612</v>
      </c>
      <c r="C115" t="s">
        <v>33</v>
      </c>
      <c r="D115" t="s">
        <v>39</v>
      </c>
      <c r="E115" t="s">
        <v>35</v>
      </c>
      <c r="F115" t="s">
        <v>36</v>
      </c>
      <c r="G115">
        <v>3176.64</v>
      </c>
      <c r="H115">
        <v>1901</v>
      </c>
      <c r="I115">
        <v>1275.6400000000001</v>
      </c>
      <c r="K115">
        <v>4</v>
      </c>
      <c r="L115" t="s">
        <v>29</v>
      </c>
      <c r="M115" t="s">
        <v>111</v>
      </c>
      <c r="N115">
        <v>4</v>
      </c>
      <c r="O115" t="s">
        <v>21</v>
      </c>
    </row>
    <row r="116" spans="1:15" x14ac:dyDescent="0.3">
      <c r="A116" t="s">
        <v>306</v>
      </c>
      <c r="B116" s="3">
        <v>45542</v>
      </c>
      <c r="C116" t="s">
        <v>59</v>
      </c>
      <c r="D116" t="s">
        <v>308</v>
      </c>
      <c r="E116" t="s">
        <v>35</v>
      </c>
      <c r="F116" t="s">
        <v>28</v>
      </c>
      <c r="G116">
        <v>470.06</v>
      </c>
      <c r="H116">
        <v>299.52999999999997</v>
      </c>
      <c r="I116">
        <v>170.53</v>
      </c>
      <c r="K116">
        <v>5</v>
      </c>
      <c r="L116" t="s">
        <v>29</v>
      </c>
      <c r="M116" t="s">
        <v>115</v>
      </c>
      <c r="N116">
        <v>3</v>
      </c>
      <c r="O116" t="s">
        <v>21</v>
      </c>
    </row>
    <row r="117" spans="1:15" x14ac:dyDescent="0.3">
      <c r="A117" t="s">
        <v>309</v>
      </c>
      <c r="B117" s="3">
        <v>45345</v>
      </c>
      <c r="C117" t="s">
        <v>17</v>
      </c>
      <c r="D117" t="s">
        <v>18</v>
      </c>
      <c r="E117" t="s">
        <v>40</v>
      </c>
      <c r="F117" t="s">
        <v>28</v>
      </c>
      <c r="G117">
        <v>639.04999999999995</v>
      </c>
      <c r="H117">
        <v>393.42</v>
      </c>
      <c r="I117">
        <v>245.63</v>
      </c>
      <c r="K117">
        <v>5</v>
      </c>
      <c r="L117" t="s">
        <v>29</v>
      </c>
      <c r="M117" t="s">
        <v>124</v>
      </c>
      <c r="N117">
        <v>1</v>
      </c>
      <c r="O117" t="s">
        <v>21</v>
      </c>
    </row>
    <row r="118" spans="1:15" x14ac:dyDescent="0.3">
      <c r="A118" t="s">
        <v>311</v>
      </c>
      <c r="B118" s="3">
        <v>45472</v>
      </c>
      <c r="C118" t="s">
        <v>7</v>
      </c>
      <c r="D118" t="s">
        <v>131</v>
      </c>
      <c r="E118" t="s">
        <v>27</v>
      </c>
      <c r="F118" t="s">
        <v>20</v>
      </c>
      <c r="G118">
        <v>2209.75</v>
      </c>
      <c r="H118">
        <v>1455.64</v>
      </c>
      <c r="I118">
        <v>754.11</v>
      </c>
      <c r="J118">
        <v>6</v>
      </c>
      <c r="K118">
        <v>3</v>
      </c>
      <c r="L118" t="s">
        <v>22</v>
      </c>
      <c r="M118" t="s">
        <v>64</v>
      </c>
      <c r="N118">
        <v>2</v>
      </c>
      <c r="O118" t="s">
        <v>56</v>
      </c>
    </row>
    <row r="119" spans="1:15" x14ac:dyDescent="0.3">
      <c r="A119" t="s">
        <v>312</v>
      </c>
      <c r="B119" s="3">
        <v>45542</v>
      </c>
      <c r="C119" t="s">
        <v>17</v>
      </c>
      <c r="D119" t="s">
        <v>226</v>
      </c>
      <c r="E119" t="s">
        <v>27</v>
      </c>
      <c r="F119" t="s">
        <v>36</v>
      </c>
      <c r="G119">
        <v>3492.7</v>
      </c>
      <c r="H119">
        <v>2165.25</v>
      </c>
      <c r="I119">
        <v>1327.45</v>
      </c>
      <c r="K119">
        <v>4</v>
      </c>
      <c r="L119" t="s">
        <v>22</v>
      </c>
      <c r="M119" t="s">
        <v>115</v>
      </c>
      <c r="N119">
        <v>3</v>
      </c>
      <c r="O119" t="s">
        <v>21</v>
      </c>
    </row>
    <row r="120" spans="1:15" x14ac:dyDescent="0.3">
      <c r="A120" t="s">
        <v>313</v>
      </c>
      <c r="B120" s="3">
        <v>45546</v>
      </c>
      <c r="C120" t="s">
        <v>7</v>
      </c>
      <c r="D120" t="s">
        <v>69</v>
      </c>
      <c r="E120" t="s">
        <v>84</v>
      </c>
      <c r="F120" t="s">
        <v>73</v>
      </c>
      <c r="G120">
        <v>3088.11</v>
      </c>
      <c r="H120">
        <v>1985.33</v>
      </c>
      <c r="I120">
        <v>1102.78</v>
      </c>
      <c r="K120">
        <v>3</v>
      </c>
      <c r="L120" t="s">
        <v>22</v>
      </c>
      <c r="M120" t="s">
        <v>115</v>
      </c>
      <c r="N120">
        <v>3</v>
      </c>
      <c r="O120" t="s">
        <v>21</v>
      </c>
    </row>
    <row r="121" spans="1:15" x14ac:dyDescent="0.3">
      <c r="A121" t="s">
        <v>316</v>
      </c>
      <c r="B121" s="3">
        <v>45328</v>
      </c>
      <c r="C121" t="s">
        <v>42</v>
      </c>
      <c r="D121" t="s">
        <v>83</v>
      </c>
      <c r="E121" t="s">
        <v>27</v>
      </c>
      <c r="F121" t="s">
        <v>36</v>
      </c>
      <c r="G121">
        <v>2441.63</v>
      </c>
      <c r="H121">
        <v>1780.56</v>
      </c>
      <c r="I121">
        <v>661.07</v>
      </c>
      <c r="J121">
        <v>4</v>
      </c>
      <c r="K121">
        <v>3</v>
      </c>
      <c r="L121" t="s">
        <v>22</v>
      </c>
      <c r="M121" t="s">
        <v>124</v>
      </c>
      <c r="N121">
        <v>1</v>
      </c>
      <c r="O121" t="s">
        <v>56</v>
      </c>
    </row>
    <row r="122" spans="1:15" x14ac:dyDescent="0.3">
      <c r="A122" t="s">
        <v>319</v>
      </c>
      <c r="B122" s="3">
        <v>45606</v>
      </c>
      <c r="C122" t="s">
        <v>7</v>
      </c>
      <c r="D122" t="s">
        <v>134</v>
      </c>
      <c r="E122" t="s">
        <v>84</v>
      </c>
      <c r="F122" t="s">
        <v>44</v>
      </c>
      <c r="G122">
        <v>3142.31</v>
      </c>
      <c r="H122">
        <v>2281.71</v>
      </c>
      <c r="I122">
        <v>860.6</v>
      </c>
      <c r="K122">
        <v>5</v>
      </c>
      <c r="L122" t="s">
        <v>29</v>
      </c>
      <c r="M122" t="s">
        <v>111</v>
      </c>
      <c r="N122">
        <v>4</v>
      </c>
      <c r="O122" t="s">
        <v>21</v>
      </c>
    </row>
    <row r="123" spans="1:15" x14ac:dyDescent="0.3">
      <c r="A123" t="s">
        <v>321</v>
      </c>
      <c r="B123" s="3">
        <v>45476</v>
      </c>
      <c r="C123" t="s">
        <v>33</v>
      </c>
      <c r="D123" t="s">
        <v>171</v>
      </c>
      <c r="E123" t="s">
        <v>19</v>
      </c>
      <c r="F123" t="s">
        <v>28</v>
      </c>
      <c r="G123">
        <v>1671.94</v>
      </c>
      <c r="H123">
        <v>980.82</v>
      </c>
      <c r="I123">
        <v>691.12</v>
      </c>
      <c r="K123">
        <v>2</v>
      </c>
      <c r="L123" t="s">
        <v>22</v>
      </c>
      <c r="M123" t="s">
        <v>54</v>
      </c>
      <c r="N123">
        <v>3</v>
      </c>
      <c r="O123" t="s">
        <v>21</v>
      </c>
    </row>
    <row r="124" spans="1:15" x14ac:dyDescent="0.3">
      <c r="A124" t="s">
        <v>323</v>
      </c>
      <c r="B124" s="3">
        <v>45349</v>
      </c>
      <c r="C124" t="s">
        <v>59</v>
      </c>
      <c r="D124" t="s">
        <v>116</v>
      </c>
      <c r="E124" t="s">
        <v>87</v>
      </c>
      <c r="F124" t="s">
        <v>20</v>
      </c>
      <c r="G124">
        <v>356.89</v>
      </c>
      <c r="H124">
        <v>245.15</v>
      </c>
      <c r="I124">
        <v>111.74</v>
      </c>
      <c r="K124">
        <v>4</v>
      </c>
      <c r="L124" t="s">
        <v>22</v>
      </c>
      <c r="M124" t="s">
        <v>124</v>
      </c>
      <c r="N124">
        <v>1</v>
      </c>
      <c r="O124" t="s">
        <v>21</v>
      </c>
    </row>
    <row r="125" spans="1:15" x14ac:dyDescent="0.3">
      <c r="A125" t="s">
        <v>324</v>
      </c>
      <c r="B125" s="3">
        <v>45400</v>
      </c>
      <c r="C125" t="s">
        <v>33</v>
      </c>
      <c r="D125" t="s">
        <v>39</v>
      </c>
      <c r="E125" t="s">
        <v>35</v>
      </c>
      <c r="F125" t="s">
        <v>36</v>
      </c>
      <c r="G125">
        <v>1675.7</v>
      </c>
      <c r="H125">
        <v>935.3</v>
      </c>
      <c r="I125">
        <v>740.4</v>
      </c>
      <c r="K125">
        <v>5</v>
      </c>
      <c r="L125" t="s">
        <v>22</v>
      </c>
      <c r="M125" t="s">
        <v>16</v>
      </c>
      <c r="N125">
        <v>2</v>
      </c>
      <c r="O125" t="s">
        <v>21</v>
      </c>
    </row>
    <row r="126" spans="1:15" x14ac:dyDescent="0.3">
      <c r="A126" t="s">
        <v>326</v>
      </c>
      <c r="B126" s="3">
        <v>45434</v>
      </c>
      <c r="C126" t="s">
        <v>17</v>
      </c>
      <c r="D126" t="s">
        <v>72</v>
      </c>
      <c r="E126" t="s">
        <v>19</v>
      </c>
      <c r="F126" t="s">
        <v>44</v>
      </c>
      <c r="G126">
        <v>2969.23</v>
      </c>
      <c r="H126">
        <v>1759.71</v>
      </c>
      <c r="I126">
        <v>1209.52</v>
      </c>
      <c r="K126">
        <v>3</v>
      </c>
      <c r="L126" t="s">
        <v>22</v>
      </c>
      <c r="M126" t="s">
        <v>104</v>
      </c>
      <c r="N126">
        <v>2</v>
      </c>
      <c r="O126" t="s">
        <v>21</v>
      </c>
    </row>
    <row r="127" spans="1:15" x14ac:dyDescent="0.3">
      <c r="A127" t="s">
        <v>329</v>
      </c>
      <c r="B127" s="3">
        <v>45344</v>
      </c>
      <c r="C127" t="s">
        <v>17</v>
      </c>
      <c r="D127" t="s">
        <v>226</v>
      </c>
      <c r="E127" t="s">
        <v>84</v>
      </c>
      <c r="F127" t="s">
        <v>36</v>
      </c>
      <c r="G127">
        <v>446.72</v>
      </c>
      <c r="H127">
        <v>327.42</v>
      </c>
      <c r="I127">
        <v>119.3</v>
      </c>
      <c r="K127">
        <v>4</v>
      </c>
      <c r="L127" t="s">
        <v>22</v>
      </c>
      <c r="M127" t="s">
        <v>124</v>
      </c>
      <c r="N127">
        <v>1</v>
      </c>
      <c r="O127" t="s">
        <v>21</v>
      </c>
    </row>
    <row r="128" spans="1:15" x14ac:dyDescent="0.3">
      <c r="A128" t="s">
        <v>331</v>
      </c>
      <c r="B128" s="3">
        <v>45428</v>
      </c>
      <c r="C128" t="s">
        <v>7</v>
      </c>
      <c r="D128" t="s">
        <v>55</v>
      </c>
      <c r="E128" t="s">
        <v>40</v>
      </c>
      <c r="F128" t="s">
        <v>44</v>
      </c>
      <c r="G128">
        <v>3272.63</v>
      </c>
      <c r="H128">
        <v>2187.12</v>
      </c>
      <c r="I128">
        <v>1085.51</v>
      </c>
      <c r="K128">
        <v>5</v>
      </c>
      <c r="L128" t="s">
        <v>22</v>
      </c>
      <c r="M128" t="s">
        <v>104</v>
      </c>
      <c r="N128">
        <v>2</v>
      </c>
      <c r="O128" t="s">
        <v>21</v>
      </c>
    </row>
    <row r="129" spans="1:15" x14ac:dyDescent="0.3">
      <c r="A129" t="s">
        <v>333</v>
      </c>
      <c r="B129" s="3">
        <v>45591</v>
      </c>
      <c r="C129" t="s">
        <v>42</v>
      </c>
      <c r="D129" t="s">
        <v>80</v>
      </c>
      <c r="E129" t="s">
        <v>84</v>
      </c>
      <c r="F129" t="s">
        <v>20</v>
      </c>
      <c r="G129">
        <v>3124.12</v>
      </c>
      <c r="H129">
        <v>2850.71</v>
      </c>
      <c r="I129">
        <v>273.41000000000003</v>
      </c>
      <c r="K129">
        <v>4</v>
      </c>
      <c r="L129" t="s">
        <v>29</v>
      </c>
      <c r="M129" t="s">
        <v>68</v>
      </c>
      <c r="N129">
        <v>4</v>
      </c>
      <c r="O129" t="s">
        <v>21</v>
      </c>
    </row>
    <row r="130" spans="1:15" x14ac:dyDescent="0.3">
      <c r="A130" t="s">
        <v>334</v>
      </c>
      <c r="B130" s="3">
        <v>45374</v>
      </c>
      <c r="C130" t="s">
        <v>42</v>
      </c>
      <c r="D130" t="s">
        <v>162</v>
      </c>
      <c r="E130" t="s">
        <v>87</v>
      </c>
      <c r="F130" t="s">
        <v>36</v>
      </c>
      <c r="G130">
        <v>2290.86</v>
      </c>
      <c r="H130">
        <v>2046.2</v>
      </c>
      <c r="I130">
        <v>244.66</v>
      </c>
      <c r="J130">
        <v>10</v>
      </c>
      <c r="K130">
        <v>3</v>
      </c>
      <c r="L130" t="s">
        <v>29</v>
      </c>
      <c r="M130" t="s">
        <v>76</v>
      </c>
      <c r="N130">
        <v>1</v>
      </c>
      <c r="O130" t="s">
        <v>56</v>
      </c>
    </row>
    <row r="131" spans="1:15" x14ac:dyDescent="0.3">
      <c r="A131" t="s">
        <v>336</v>
      </c>
      <c r="B131" s="3">
        <v>45615</v>
      </c>
      <c r="C131" t="s">
        <v>17</v>
      </c>
      <c r="D131" t="s">
        <v>51</v>
      </c>
      <c r="E131" t="s">
        <v>35</v>
      </c>
      <c r="F131" t="s">
        <v>44</v>
      </c>
      <c r="G131">
        <v>1876.51</v>
      </c>
      <c r="H131">
        <v>1145.58</v>
      </c>
      <c r="I131">
        <v>730.93</v>
      </c>
      <c r="J131">
        <v>8</v>
      </c>
      <c r="K131">
        <v>1</v>
      </c>
      <c r="L131" t="s">
        <v>22</v>
      </c>
      <c r="M131" t="s">
        <v>111</v>
      </c>
      <c r="N131">
        <v>4</v>
      </c>
      <c r="O131" t="s">
        <v>21</v>
      </c>
    </row>
    <row r="132" spans="1:15" x14ac:dyDescent="0.3">
      <c r="A132" t="s">
        <v>339</v>
      </c>
      <c r="B132" s="3">
        <v>45494</v>
      </c>
      <c r="C132" t="s">
        <v>33</v>
      </c>
      <c r="D132" t="s">
        <v>39</v>
      </c>
      <c r="E132" t="s">
        <v>87</v>
      </c>
      <c r="F132" t="s">
        <v>44</v>
      </c>
      <c r="G132">
        <v>3196.27</v>
      </c>
      <c r="H132">
        <v>2221.94</v>
      </c>
      <c r="I132">
        <v>974.33</v>
      </c>
      <c r="J132">
        <v>4</v>
      </c>
      <c r="K132">
        <v>4</v>
      </c>
      <c r="L132" t="s">
        <v>29</v>
      </c>
      <c r="M132" t="s">
        <v>54</v>
      </c>
      <c r="N132">
        <v>3</v>
      </c>
      <c r="O132" t="s">
        <v>56</v>
      </c>
    </row>
    <row r="133" spans="1:15" x14ac:dyDescent="0.3">
      <c r="A133" t="s">
        <v>341</v>
      </c>
      <c r="B133" s="3">
        <v>45381</v>
      </c>
      <c r="C133" t="s">
        <v>42</v>
      </c>
      <c r="D133" t="s">
        <v>262</v>
      </c>
      <c r="E133" t="s">
        <v>27</v>
      </c>
      <c r="F133" t="s">
        <v>73</v>
      </c>
      <c r="G133">
        <v>1025.2</v>
      </c>
      <c r="H133">
        <v>875.7</v>
      </c>
      <c r="I133">
        <v>149.5</v>
      </c>
      <c r="J133">
        <v>5</v>
      </c>
      <c r="K133">
        <v>5</v>
      </c>
      <c r="L133" t="s">
        <v>22</v>
      </c>
      <c r="M133" t="s">
        <v>76</v>
      </c>
      <c r="N133">
        <v>1</v>
      </c>
      <c r="O133" t="s">
        <v>56</v>
      </c>
    </row>
    <row r="134" spans="1:15" x14ac:dyDescent="0.3">
      <c r="A134" t="s">
        <v>343</v>
      </c>
      <c r="B134" s="3">
        <v>45452</v>
      </c>
      <c r="C134" t="s">
        <v>59</v>
      </c>
      <c r="D134" t="s">
        <v>155</v>
      </c>
      <c r="E134" t="s">
        <v>40</v>
      </c>
      <c r="F134" t="s">
        <v>36</v>
      </c>
      <c r="G134">
        <v>1293.93</v>
      </c>
      <c r="H134">
        <v>950.98</v>
      </c>
      <c r="I134">
        <v>342.95</v>
      </c>
      <c r="K134">
        <v>5</v>
      </c>
      <c r="L134" t="s">
        <v>22</v>
      </c>
      <c r="M134" t="s">
        <v>64</v>
      </c>
      <c r="N134">
        <v>2</v>
      </c>
      <c r="O134" t="s">
        <v>21</v>
      </c>
    </row>
    <row r="135" spans="1:15" x14ac:dyDescent="0.3">
      <c r="A135" t="s">
        <v>345</v>
      </c>
      <c r="B135" s="3">
        <v>45644</v>
      </c>
      <c r="C135" t="s">
        <v>17</v>
      </c>
      <c r="D135" t="s">
        <v>18</v>
      </c>
      <c r="E135" t="s">
        <v>27</v>
      </c>
      <c r="F135" t="s">
        <v>73</v>
      </c>
      <c r="G135">
        <v>949.38</v>
      </c>
      <c r="H135">
        <v>596.95000000000005</v>
      </c>
      <c r="I135">
        <v>352.43</v>
      </c>
      <c r="J135">
        <v>8</v>
      </c>
      <c r="K135">
        <v>1</v>
      </c>
      <c r="L135" t="s">
        <v>29</v>
      </c>
      <c r="M135" t="s">
        <v>179</v>
      </c>
      <c r="N135">
        <v>4</v>
      </c>
      <c r="O135" t="s">
        <v>56</v>
      </c>
    </row>
    <row r="136" spans="1:15" x14ac:dyDescent="0.3">
      <c r="A136" t="s">
        <v>347</v>
      </c>
      <c r="B136" s="3">
        <v>45559</v>
      </c>
      <c r="C136" t="s">
        <v>33</v>
      </c>
      <c r="D136" t="s">
        <v>119</v>
      </c>
      <c r="E136" t="s">
        <v>40</v>
      </c>
      <c r="F136" t="s">
        <v>28</v>
      </c>
      <c r="G136">
        <v>3201.12</v>
      </c>
      <c r="H136">
        <v>2558.33</v>
      </c>
      <c r="I136">
        <v>642.79</v>
      </c>
      <c r="K136">
        <v>2</v>
      </c>
      <c r="L136" t="s">
        <v>29</v>
      </c>
      <c r="M136" t="s">
        <v>115</v>
      </c>
      <c r="N136">
        <v>3</v>
      </c>
      <c r="O136" t="s">
        <v>21</v>
      </c>
    </row>
    <row r="137" spans="1:15" x14ac:dyDescent="0.3">
      <c r="A137" t="s">
        <v>348</v>
      </c>
      <c r="B137" s="3">
        <v>45502</v>
      </c>
      <c r="C137" t="s">
        <v>7</v>
      </c>
      <c r="D137" t="s">
        <v>69</v>
      </c>
      <c r="E137" t="s">
        <v>84</v>
      </c>
      <c r="F137" t="s">
        <v>73</v>
      </c>
      <c r="G137">
        <v>1418.73</v>
      </c>
      <c r="H137">
        <v>964.33</v>
      </c>
      <c r="I137">
        <v>454.4</v>
      </c>
      <c r="K137">
        <v>5</v>
      </c>
      <c r="L137" t="s">
        <v>22</v>
      </c>
      <c r="M137" t="s">
        <v>54</v>
      </c>
      <c r="N137">
        <v>3</v>
      </c>
      <c r="O137" t="s">
        <v>21</v>
      </c>
    </row>
    <row r="138" spans="1:15" x14ac:dyDescent="0.3">
      <c r="A138" t="s">
        <v>350</v>
      </c>
      <c r="B138" s="3">
        <v>45377</v>
      </c>
      <c r="C138" t="s">
        <v>33</v>
      </c>
      <c r="D138" t="s">
        <v>119</v>
      </c>
      <c r="E138" t="s">
        <v>19</v>
      </c>
      <c r="F138" t="s">
        <v>36</v>
      </c>
      <c r="G138">
        <v>1239.0899999999999</v>
      </c>
      <c r="H138">
        <v>794.16</v>
      </c>
      <c r="I138">
        <v>444.93</v>
      </c>
      <c r="K138">
        <v>4</v>
      </c>
      <c r="L138" t="s">
        <v>22</v>
      </c>
      <c r="M138" t="s">
        <v>76</v>
      </c>
      <c r="N138">
        <v>1</v>
      </c>
      <c r="O138" t="s">
        <v>21</v>
      </c>
    </row>
    <row r="139" spans="1:15" x14ac:dyDescent="0.3">
      <c r="A139" t="s">
        <v>352</v>
      </c>
      <c r="B139" s="3">
        <v>45625</v>
      </c>
      <c r="C139" t="s">
        <v>33</v>
      </c>
      <c r="D139" t="s">
        <v>1698</v>
      </c>
      <c r="E139" t="s">
        <v>35</v>
      </c>
      <c r="F139" t="s">
        <v>36</v>
      </c>
      <c r="G139">
        <v>5015.43</v>
      </c>
      <c r="H139">
        <v>3327.83</v>
      </c>
      <c r="I139">
        <v>1687.6</v>
      </c>
      <c r="K139">
        <v>1</v>
      </c>
      <c r="L139" t="s">
        <v>22</v>
      </c>
      <c r="M139" t="s">
        <v>111</v>
      </c>
      <c r="N139">
        <v>4</v>
      </c>
      <c r="O139" t="s">
        <v>21</v>
      </c>
    </row>
    <row r="140" spans="1:15" x14ac:dyDescent="0.3">
      <c r="A140" t="s">
        <v>354</v>
      </c>
      <c r="B140" s="3">
        <v>45345</v>
      </c>
      <c r="C140" t="s">
        <v>42</v>
      </c>
      <c r="D140" t="s">
        <v>77</v>
      </c>
      <c r="E140" t="s">
        <v>84</v>
      </c>
      <c r="F140" t="s">
        <v>28</v>
      </c>
      <c r="G140">
        <v>269.26</v>
      </c>
      <c r="H140">
        <v>218.55</v>
      </c>
      <c r="I140">
        <v>50.71</v>
      </c>
      <c r="K140">
        <v>5</v>
      </c>
      <c r="L140" t="s">
        <v>22</v>
      </c>
      <c r="M140" t="s">
        <v>124</v>
      </c>
      <c r="N140">
        <v>1</v>
      </c>
      <c r="O140" t="s">
        <v>21</v>
      </c>
    </row>
    <row r="141" spans="1:15" x14ac:dyDescent="0.3">
      <c r="A141" t="s">
        <v>355</v>
      </c>
      <c r="B141" s="3">
        <v>45295</v>
      </c>
      <c r="C141" t="s">
        <v>33</v>
      </c>
      <c r="D141" t="s">
        <v>205</v>
      </c>
      <c r="E141" t="s">
        <v>40</v>
      </c>
      <c r="F141" t="s">
        <v>44</v>
      </c>
      <c r="G141">
        <v>1863.57</v>
      </c>
      <c r="H141">
        <v>1333.55</v>
      </c>
      <c r="I141">
        <v>530.02</v>
      </c>
      <c r="K141">
        <v>4</v>
      </c>
      <c r="L141" t="s">
        <v>22</v>
      </c>
      <c r="M141" t="s">
        <v>25</v>
      </c>
      <c r="N141">
        <v>1</v>
      </c>
      <c r="O141" t="s">
        <v>21</v>
      </c>
    </row>
    <row r="142" spans="1:15" x14ac:dyDescent="0.3">
      <c r="A142" t="s">
        <v>356</v>
      </c>
      <c r="B142" s="3">
        <v>45630</v>
      </c>
      <c r="C142" t="s">
        <v>17</v>
      </c>
      <c r="D142" t="s">
        <v>51</v>
      </c>
      <c r="E142" t="s">
        <v>84</v>
      </c>
      <c r="F142" t="s">
        <v>44</v>
      </c>
      <c r="G142">
        <v>355.97</v>
      </c>
      <c r="H142">
        <v>215.15</v>
      </c>
      <c r="I142">
        <v>140.82</v>
      </c>
      <c r="K142">
        <v>5</v>
      </c>
      <c r="L142" t="s">
        <v>29</v>
      </c>
      <c r="M142" t="s">
        <v>179</v>
      </c>
      <c r="N142">
        <v>4</v>
      </c>
      <c r="O142" t="s">
        <v>21</v>
      </c>
    </row>
    <row r="143" spans="1:15" x14ac:dyDescent="0.3">
      <c r="A143" t="s">
        <v>358</v>
      </c>
      <c r="B143" s="3">
        <v>45488</v>
      </c>
      <c r="C143" t="s">
        <v>17</v>
      </c>
      <c r="D143" t="s">
        <v>100</v>
      </c>
      <c r="E143" t="s">
        <v>27</v>
      </c>
      <c r="F143" t="s">
        <v>36</v>
      </c>
      <c r="G143">
        <v>462.08</v>
      </c>
      <c r="H143">
        <v>274.82</v>
      </c>
      <c r="I143">
        <v>187.26</v>
      </c>
      <c r="K143">
        <v>5</v>
      </c>
      <c r="L143" t="s">
        <v>22</v>
      </c>
      <c r="M143" t="s">
        <v>54</v>
      </c>
      <c r="N143">
        <v>3</v>
      </c>
      <c r="O143" t="s">
        <v>21</v>
      </c>
    </row>
    <row r="144" spans="1:15" x14ac:dyDescent="0.3">
      <c r="A144" t="s">
        <v>359</v>
      </c>
      <c r="B144" s="3">
        <v>45522</v>
      </c>
      <c r="C144" t="s">
        <v>33</v>
      </c>
      <c r="D144" t="s">
        <v>39</v>
      </c>
      <c r="E144" t="s">
        <v>35</v>
      </c>
      <c r="F144" t="s">
        <v>73</v>
      </c>
      <c r="G144">
        <v>1955.36</v>
      </c>
      <c r="H144">
        <v>1212.0999999999999</v>
      </c>
      <c r="I144">
        <v>743.26</v>
      </c>
      <c r="J144">
        <v>9</v>
      </c>
      <c r="K144">
        <v>3</v>
      </c>
      <c r="L144" t="s">
        <v>22</v>
      </c>
      <c r="M144" t="s">
        <v>32</v>
      </c>
      <c r="N144">
        <v>3</v>
      </c>
      <c r="O144" t="s">
        <v>56</v>
      </c>
    </row>
    <row r="145" spans="1:15" x14ac:dyDescent="0.3">
      <c r="A145" t="s">
        <v>361</v>
      </c>
      <c r="B145" s="3">
        <v>45445</v>
      </c>
      <c r="C145" t="s">
        <v>33</v>
      </c>
      <c r="D145" t="s">
        <v>119</v>
      </c>
      <c r="E145" t="s">
        <v>19</v>
      </c>
      <c r="F145" t="s">
        <v>73</v>
      </c>
      <c r="G145">
        <v>3136.57</v>
      </c>
      <c r="H145">
        <v>2393.33</v>
      </c>
      <c r="I145">
        <v>743.24</v>
      </c>
      <c r="K145">
        <v>4</v>
      </c>
      <c r="L145" t="s">
        <v>29</v>
      </c>
      <c r="M145" t="s">
        <v>64</v>
      </c>
      <c r="N145">
        <v>2</v>
      </c>
      <c r="O145" t="s">
        <v>21</v>
      </c>
    </row>
    <row r="146" spans="1:15" x14ac:dyDescent="0.3">
      <c r="A146" t="s">
        <v>363</v>
      </c>
      <c r="B146" s="3">
        <v>45627</v>
      </c>
      <c r="C146" t="s">
        <v>17</v>
      </c>
      <c r="D146" t="s">
        <v>226</v>
      </c>
      <c r="E146" t="s">
        <v>87</v>
      </c>
      <c r="F146" t="s">
        <v>28</v>
      </c>
      <c r="G146">
        <v>2724.51</v>
      </c>
      <c r="H146">
        <v>2127.7600000000002</v>
      </c>
      <c r="I146">
        <v>596.75</v>
      </c>
      <c r="K146">
        <v>4</v>
      </c>
      <c r="L146" t="s">
        <v>22</v>
      </c>
      <c r="M146" t="s">
        <v>179</v>
      </c>
      <c r="N146">
        <v>4</v>
      </c>
      <c r="O146" t="s">
        <v>21</v>
      </c>
    </row>
    <row r="147" spans="1:15" x14ac:dyDescent="0.3">
      <c r="A147" t="s">
        <v>365</v>
      </c>
      <c r="B147" s="3">
        <v>45470</v>
      </c>
      <c r="C147" t="s">
        <v>33</v>
      </c>
      <c r="D147" t="s">
        <v>205</v>
      </c>
      <c r="E147" t="s">
        <v>35</v>
      </c>
      <c r="F147" t="s">
        <v>73</v>
      </c>
      <c r="G147">
        <v>891.01</v>
      </c>
      <c r="H147">
        <v>537.58000000000004</v>
      </c>
      <c r="I147">
        <v>353.43</v>
      </c>
      <c r="K147">
        <v>5</v>
      </c>
      <c r="L147" t="s">
        <v>22</v>
      </c>
      <c r="M147" t="s">
        <v>64</v>
      </c>
      <c r="N147">
        <v>2</v>
      </c>
      <c r="O147" t="s">
        <v>21</v>
      </c>
    </row>
    <row r="148" spans="1:15" x14ac:dyDescent="0.3">
      <c r="A148" t="s">
        <v>367</v>
      </c>
      <c r="B148" s="3">
        <v>45561</v>
      </c>
      <c r="C148" t="s">
        <v>33</v>
      </c>
      <c r="D148" t="s">
        <v>171</v>
      </c>
      <c r="E148" t="s">
        <v>40</v>
      </c>
      <c r="F148" t="s">
        <v>36</v>
      </c>
      <c r="G148">
        <v>3407.13</v>
      </c>
      <c r="H148">
        <v>2680.99</v>
      </c>
      <c r="I148">
        <v>726.14</v>
      </c>
      <c r="K148">
        <v>4</v>
      </c>
      <c r="L148" t="s">
        <v>22</v>
      </c>
      <c r="M148" t="s">
        <v>115</v>
      </c>
      <c r="N148">
        <v>3</v>
      </c>
      <c r="O148" t="s">
        <v>21</v>
      </c>
    </row>
    <row r="149" spans="1:15" x14ac:dyDescent="0.3">
      <c r="A149" t="s">
        <v>369</v>
      </c>
      <c r="B149" s="3">
        <v>45423</v>
      </c>
      <c r="C149" t="s">
        <v>59</v>
      </c>
      <c r="D149" t="s">
        <v>308</v>
      </c>
      <c r="E149" t="s">
        <v>87</v>
      </c>
      <c r="F149" t="s">
        <v>28</v>
      </c>
      <c r="G149">
        <v>3084.98</v>
      </c>
      <c r="H149">
        <v>2323.87</v>
      </c>
      <c r="I149">
        <v>761.11</v>
      </c>
      <c r="L149" t="s">
        <v>22</v>
      </c>
      <c r="M149" t="s">
        <v>104</v>
      </c>
      <c r="N149">
        <v>2</v>
      </c>
      <c r="O149" t="s">
        <v>21</v>
      </c>
    </row>
    <row r="150" spans="1:15" x14ac:dyDescent="0.3">
      <c r="A150" t="s">
        <v>371</v>
      </c>
      <c r="B150" s="3">
        <v>45440</v>
      </c>
      <c r="C150" t="s">
        <v>33</v>
      </c>
      <c r="D150" t="s">
        <v>93</v>
      </c>
      <c r="E150" t="s">
        <v>19</v>
      </c>
      <c r="F150" t="s">
        <v>44</v>
      </c>
      <c r="G150">
        <v>1119.6500000000001</v>
      </c>
      <c r="H150">
        <v>643.79999999999995</v>
      </c>
      <c r="I150">
        <v>475.85</v>
      </c>
      <c r="K150">
        <v>4</v>
      </c>
      <c r="L150" t="s">
        <v>22</v>
      </c>
      <c r="M150" t="s">
        <v>104</v>
      </c>
      <c r="N150">
        <v>2</v>
      </c>
      <c r="O150" t="s">
        <v>21</v>
      </c>
    </row>
    <row r="151" spans="1:15" x14ac:dyDescent="0.3">
      <c r="A151" t="s">
        <v>373</v>
      </c>
      <c r="B151" s="3">
        <v>45343</v>
      </c>
      <c r="C151" t="s">
        <v>42</v>
      </c>
      <c r="D151" t="s">
        <v>214</v>
      </c>
      <c r="E151" t="s">
        <v>35</v>
      </c>
      <c r="F151" t="s">
        <v>44</v>
      </c>
      <c r="G151">
        <v>1364.48</v>
      </c>
      <c r="H151">
        <v>983.7</v>
      </c>
      <c r="I151">
        <v>380.78</v>
      </c>
      <c r="K151">
        <v>3</v>
      </c>
      <c r="L151" t="s">
        <v>22</v>
      </c>
      <c r="M151" t="s">
        <v>124</v>
      </c>
      <c r="N151">
        <v>1</v>
      </c>
      <c r="O151" t="s">
        <v>21</v>
      </c>
    </row>
    <row r="152" spans="1:15" x14ac:dyDescent="0.3">
      <c r="A152" t="s">
        <v>376</v>
      </c>
      <c r="B152" s="3">
        <v>45532</v>
      </c>
      <c r="C152" t="s">
        <v>7</v>
      </c>
      <c r="D152" t="s">
        <v>55</v>
      </c>
      <c r="E152" t="s">
        <v>40</v>
      </c>
      <c r="F152" t="s">
        <v>73</v>
      </c>
      <c r="G152">
        <v>2072.7800000000002</v>
      </c>
      <c r="H152">
        <v>1311.82</v>
      </c>
      <c r="I152">
        <v>760.96</v>
      </c>
      <c r="K152">
        <v>4</v>
      </c>
      <c r="L152" t="s">
        <v>29</v>
      </c>
      <c r="M152" t="s">
        <v>32</v>
      </c>
      <c r="N152">
        <v>3</v>
      </c>
      <c r="O152" t="s">
        <v>21</v>
      </c>
    </row>
    <row r="153" spans="1:15" x14ac:dyDescent="0.3">
      <c r="A153" t="s">
        <v>378</v>
      </c>
      <c r="B153" s="3">
        <v>45483</v>
      </c>
      <c r="C153" t="s">
        <v>17</v>
      </c>
      <c r="D153" t="s">
        <v>96</v>
      </c>
      <c r="E153" t="s">
        <v>27</v>
      </c>
      <c r="F153" t="s">
        <v>28</v>
      </c>
      <c r="G153">
        <v>1866.96</v>
      </c>
      <c r="H153">
        <v>1295.33</v>
      </c>
      <c r="I153">
        <v>571.63</v>
      </c>
      <c r="J153">
        <v>6</v>
      </c>
      <c r="K153">
        <v>2</v>
      </c>
      <c r="L153" t="s">
        <v>22</v>
      </c>
      <c r="M153" t="s">
        <v>54</v>
      </c>
      <c r="N153">
        <v>3</v>
      </c>
      <c r="O153" t="s">
        <v>56</v>
      </c>
    </row>
    <row r="154" spans="1:15" x14ac:dyDescent="0.3">
      <c r="A154" t="s">
        <v>379</v>
      </c>
      <c r="B154" s="3">
        <v>45427</v>
      </c>
      <c r="C154" t="s">
        <v>7</v>
      </c>
      <c r="D154" t="s">
        <v>65</v>
      </c>
      <c r="E154" t="s">
        <v>27</v>
      </c>
      <c r="F154" t="s">
        <v>36</v>
      </c>
      <c r="G154">
        <v>2789.22</v>
      </c>
      <c r="H154">
        <v>1969.93</v>
      </c>
      <c r="I154">
        <v>819.29</v>
      </c>
      <c r="K154">
        <v>5</v>
      </c>
      <c r="L154" t="s">
        <v>22</v>
      </c>
      <c r="M154" t="s">
        <v>104</v>
      </c>
      <c r="N154">
        <v>2</v>
      </c>
      <c r="O154" t="s">
        <v>21</v>
      </c>
    </row>
    <row r="155" spans="1:15" x14ac:dyDescent="0.3">
      <c r="A155" t="s">
        <v>381</v>
      </c>
      <c r="B155" s="3">
        <v>45351</v>
      </c>
      <c r="C155" t="s">
        <v>33</v>
      </c>
      <c r="D155" t="s">
        <v>93</v>
      </c>
      <c r="E155" t="s">
        <v>40</v>
      </c>
      <c r="F155" t="s">
        <v>36</v>
      </c>
      <c r="G155">
        <v>1199.45</v>
      </c>
      <c r="H155">
        <v>953.12</v>
      </c>
      <c r="I155">
        <v>246.33</v>
      </c>
      <c r="K155">
        <v>5</v>
      </c>
      <c r="L155" t="s">
        <v>22</v>
      </c>
      <c r="M155" t="s">
        <v>124</v>
      </c>
      <c r="N155">
        <v>1</v>
      </c>
      <c r="O155" t="s">
        <v>21</v>
      </c>
    </row>
    <row r="156" spans="1:15" x14ac:dyDescent="0.3">
      <c r="A156" t="s">
        <v>383</v>
      </c>
      <c r="B156" s="3">
        <v>45465</v>
      </c>
      <c r="C156" t="s">
        <v>17</v>
      </c>
      <c r="D156" t="s">
        <v>51</v>
      </c>
      <c r="E156" t="s">
        <v>84</v>
      </c>
      <c r="F156" t="s">
        <v>28</v>
      </c>
      <c r="G156">
        <v>2018.74</v>
      </c>
      <c r="H156">
        <v>1294.82</v>
      </c>
      <c r="I156">
        <v>723.92</v>
      </c>
      <c r="K156">
        <v>4</v>
      </c>
      <c r="L156" t="s">
        <v>29</v>
      </c>
      <c r="M156" t="s">
        <v>64</v>
      </c>
      <c r="N156">
        <v>2</v>
      </c>
      <c r="O156" t="s">
        <v>21</v>
      </c>
    </row>
    <row r="157" spans="1:15" x14ac:dyDescent="0.3">
      <c r="A157" t="s">
        <v>385</v>
      </c>
      <c r="B157" s="3">
        <v>45406</v>
      </c>
      <c r="C157" t="s">
        <v>42</v>
      </c>
      <c r="D157" t="s">
        <v>214</v>
      </c>
      <c r="E157" t="s">
        <v>35</v>
      </c>
      <c r="F157" t="s">
        <v>28</v>
      </c>
      <c r="G157">
        <v>995.51</v>
      </c>
      <c r="H157">
        <v>873.18</v>
      </c>
      <c r="I157">
        <v>122.33</v>
      </c>
      <c r="K157">
        <v>4</v>
      </c>
      <c r="L157" t="s">
        <v>22</v>
      </c>
      <c r="M157" t="s">
        <v>16</v>
      </c>
      <c r="N157">
        <v>2</v>
      </c>
      <c r="O157" t="s">
        <v>21</v>
      </c>
    </row>
    <row r="158" spans="1:15" x14ac:dyDescent="0.3">
      <c r="A158" t="s">
        <v>386</v>
      </c>
      <c r="B158" s="3">
        <v>45514</v>
      </c>
      <c r="C158" t="s">
        <v>7</v>
      </c>
      <c r="D158" t="s">
        <v>182</v>
      </c>
      <c r="E158" t="s">
        <v>19</v>
      </c>
      <c r="F158" t="s">
        <v>36</v>
      </c>
      <c r="G158">
        <v>788.61</v>
      </c>
      <c r="H158">
        <v>444.58</v>
      </c>
      <c r="I158">
        <v>344.03</v>
      </c>
      <c r="J158">
        <v>1</v>
      </c>
      <c r="K158">
        <v>1</v>
      </c>
      <c r="L158" t="s">
        <v>22</v>
      </c>
      <c r="M158" t="s">
        <v>32</v>
      </c>
      <c r="N158">
        <v>3</v>
      </c>
      <c r="O158" t="s">
        <v>56</v>
      </c>
    </row>
    <row r="159" spans="1:15" x14ac:dyDescent="0.3">
      <c r="A159" t="s">
        <v>388</v>
      </c>
      <c r="B159" s="3">
        <v>45382</v>
      </c>
      <c r="C159" t="s">
        <v>17</v>
      </c>
      <c r="D159" t="s">
        <v>26</v>
      </c>
      <c r="E159" t="s">
        <v>35</v>
      </c>
      <c r="F159" t="s">
        <v>28</v>
      </c>
      <c r="G159">
        <v>1975.96</v>
      </c>
      <c r="H159">
        <v>1185.7</v>
      </c>
      <c r="I159">
        <v>790.26</v>
      </c>
      <c r="J159">
        <v>9</v>
      </c>
      <c r="K159">
        <v>1</v>
      </c>
      <c r="L159" t="s">
        <v>22</v>
      </c>
      <c r="M159" t="s">
        <v>76</v>
      </c>
      <c r="N159">
        <v>1</v>
      </c>
      <c r="O159" t="s">
        <v>56</v>
      </c>
    </row>
    <row r="160" spans="1:15" x14ac:dyDescent="0.3">
      <c r="A160" t="s">
        <v>389</v>
      </c>
      <c r="B160" s="3">
        <v>45609</v>
      </c>
      <c r="C160" t="s">
        <v>7</v>
      </c>
      <c r="D160" t="s">
        <v>128</v>
      </c>
      <c r="E160" t="s">
        <v>27</v>
      </c>
      <c r="F160" t="s">
        <v>44</v>
      </c>
      <c r="G160">
        <v>388.57</v>
      </c>
      <c r="H160">
        <v>300.11</v>
      </c>
      <c r="I160">
        <v>88.46</v>
      </c>
      <c r="K160">
        <v>4</v>
      </c>
      <c r="L160" t="s">
        <v>29</v>
      </c>
      <c r="M160" t="s">
        <v>111</v>
      </c>
      <c r="N160">
        <v>4</v>
      </c>
      <c r="O160" t="s">
        <v>21</v>
      </c>
    </row>
    <row r="161" spans="1:15" x14ac:dyDescent="0.3">
      <c r="A161" t="s">
        <v>391</v>
      </c>
      <c r="B161" s="3">
        <v>45540</v>
      </c>
      <c r="C161" t="s">
        <v>59</v>
      </c>
      <c r="D161" t="s">
        <v>301</v>
      </c>
      <c r="E161" t="s">
        <v>40</v>
      </c>
      <c r="F161" t="s">
        <v>44</v>
      </c>
      <c r="G161">
        <v>1302.51</v>
      </c>
      <c r="H161">
        <v>900.57</v>
      </c>
      <c r="I161">
        <v>401.94</v>
      </c>
      <c r="K161">
        <v>4</v>
      </c>
      <c r="L161" t="s">
        <v>22</v>
      </c>
      <c r="M161" t="s">
        <v>115</v>
      </c>
      <c r="N161">
        <v>3</v>
      </c>
      <c r="O161" t="s">
        <v>21</v>
      </c>
    </row>
    <row r="162" spans="1:15" x14ac:dyDescent="0.3">
      <c r="A162" t="s">
        <v>394</v>
      </c>
      <c r="B162" s="3">
        <v>45495</v>
      </c>
      <c r="C162" t="s">
        <v>42</v>
      </c>
      <c r="D162" t="s">
        <v>262</v>
      </c>
      <c r="E162" t="s">
        <v>40</v>
      </c>
      <c r="F162" t="s">
        <v>73</v>
      </c>
      <c r="G162">
        <v>3395.23</v>
      </c>
      <c r="H162">
        <v>2594.36</v>
      </c>
      <c r="I162">
        <v>800.87</v>
      </c>
      <c r="K162">
        <v>4</v>
      </c>
      <c r="L162" t="s">
        <v>29</v>
      </c>
      <c r="M162" t="s">
        <v>54</v>
      </c>
      <c r="N162">
        <v>3</v>
      </c>
      <c r="O162" t="s">
        <v>21</v>
      </c>
    </row>
    <row r="163" spans="1:15" x14ac:dyDescent="0.3">
      <c r="A163" t="s">
        <v>395</v>
      </c>
      <c r="B163" s="3">
        <v>45345</v>
      </c>
      <c r="C163" t="s">
        <v>42</v>
      </c>
      <c r="D163" t="s">
        <v>77</v>
      </c>
      <c r="E163" t="s">
        <v>27</v>
      </c>
      <c r="F163" t="s">
        <v>28</v>
      </c>
      <c r="G163">
        <v>1447.81</v>
      </c>
      <c r="H163">
        <v>1204.75</v>
      </c>
      <c r="I163">
        <v>243.06</v>
      </c>
      <c r="K163">
        <v>5</v>
      </c>
      <c r="L163" t="s">
        <v>22</v>
      </c>
      <c r="M163" t="s">
        <v>124</v>
      </c>
      <c r="N163">
        <v>1</v>
      </c>
      <c r="O163" t="s">
        <v>21</v>
      </c>
    </row>
    <row r="164" spans="1:15" x14ac:dyDescent="0.3">
      <c r="A164" t="s">
        <v>396</v>
      </c>
      <c r="B164" s="3">
        <v>45563</v>
      </c>
      <c r="C164" t="s">
        <v>42</v>
      </c>
      <c r="D164" t="s">
        <v>162</v>
      </c>
      <c r="E164" t="s">
        <v>27</v>
      </c>
      <c r="F164" t="s">
        <v>20</v>
      </c>
      <c r="G164">
        <v>708.62</v>
      </c>
      <c r="H164">
        <v>520.78</v>
      </c>
      <c r="I164">
        <v>187.84</v>
      </c>
      <c r="K164">
        <v>4</v>
      </c>
      <c r="L164" t="s">
        <v>22</v>
      </c>
      <c r="M164" t="s">
        <v>115</v>
      </c>
      <c r="N164">
        <v>3</v>
      </c>
      <c r="O164" t="s">
        <v>21</v>
      </c>
    </row>
    <row r="165" spans="1:15" x14ac:dyDescent="0.3">
      <c r="A165" t="s">
        <v>398</v>
      </c>
      <c r="B165" s="3">
        <v>45299</v>
      </c>
      <c r="C165" t="s">
        <v>7</v>
      </c>
      <c r="D165" t="s">
        <v>128</v>
      </c>
      <c r="E165" t="s">
        <v>87</v>
      </c>
      <c r="F165" t="s">
        <v>73</v>
      </c>
      <c r="G165">
        <v>1279.3399999999999</v>
      </c>
      <c r="H165">
        <v>765.09</v>
      </c>
      <c r="I165">
        <v>514.25</v>
      </c>
      <c r="K165">
        <v>5</v>
      </c>
      <c r="L165" t="s">
        <v>22</v>
      </c>
      <c r="M165" t="s">
        <v>25</v>
      </c>
      <c r="N165">
        <v>1</v>
      </c>
      <c r="O165" t="s">
        <v>21</v>
      </c>
    </row>
    <row r="166" spans="1:15" x14ac:dyDescent="0.3">
      <c r="A166" t="s">
        <v>400</v>
      </c>
      <c r="B166" s="3">
        <v>45461</v>
      </c>
      <c r="C166" t="s">
        <v>42</v>
      </c>
      <c r="D166" t="s">
        <v>83</v>
      </c>
      <c r="E166" t="s">
        <v>27</v>
      </c>
      <c r="F166" t="s">
        <v>28</v>
      </c>
      <c r="G166">
        <v>3447.75</v>
      </c>
      <c r="H166">
        <v>3162.13</v>
      </c>
      <c r="I166">
        <v>285.62</v>
      </c>
      <c r="K166">
        <v>2</v>
      </c>
      <c r="L166" t="s">
        <v>29</v>
      </c>
      <c r="M166" t="s">
        <v>64</v>
      </c>
      <c r="N166">
        <v>2</v>
      </c>
      <c r="O166" t="s">
        <v>21</v>
      </c>
    </row>
    <row r="167" spans="1:15" x14ac:dyDescent="0.3">
      <c r="A167" t="s">
        <v>402</v>
      </c>
      <c r="B167" s="3">
        <v>45464</v>
      </c>
      <c r="C167" t="s">
        <v>59</v>
      </c>
      <c r="D167" t="s">
        <v>108</v>
      </c>
      <c r="E167" t="s">
        <v>84</v>
      </c>
      <c r="F167" t="s">
        <v>299</v>
      </c>
      <c r="G167">
        <v>1983.49</v>
      </c>
      <c r="H167">
        <v>1155.68</v>
      </c>
      <c r="I167">
        <v>827.81</v>
      </c>
      <c r="K167">
        <v>5</v>
      </c>
      <c r="L167" t="s">
        <v>29</v>
      </c>
      <c r="M167" t="s">
        <v>64</v>
      </c>
      <c r="N167">
        <v>2</v>
      </c>
      <c r="O167" t="s">
        <v>21</v>
      </c>
    </row>
    <row r="168" spans="1:15" x14ac:dyDescent="0.3">
      <c r="A168" t="s">
        <v>404</v>
      </c>
      <c r="B168" s="3">
        <v>45647</v>
      </c>
      <c r="C168" t="s">
        <v>42</v>
      </c>
      <c r="D168" t="s">
        <v>83</v>
      </c>
      <c r="E168" t="s">
        <v>19</v>
      </c>
      <c r="F168" t="s">
        <v>44</v>
      </c>
      <c r="G168">
        <v>1403.76</v>
      </c>
      <c r="H168">
        <v>1167.79</v>
      </c>
      <c r="I168">
        <v>235.97</v>
      </c>
      <c r="K168">
        <v>4</v>
      </c>
      <c r="L168" t="s">
        <v>22</v>
      </c>
      <c r="M168" t="s">
        <v>179</v>
      </c>
      <c r="N168">
        <v>4</v>
      </c>
      <c r="O168" t="s">
        <v>21</v>
      </c>
    </row>
    <row r="169" spans="1:15" x14ac:dyDescent="0.3">
      <c r="A169" t="s">
        <v>406</v>
      </c>
      <c r="B169" s="3">
        <v>45630</v>
      </c>
      <c r="C169" t="s">
        <v>7</v>
      </c>
      <c r="D169" t="s">
        <v>69</v>
      </c>
      <c r="E169" t="s">
        <v>40</v>
      </c>
      <c r="F169" t="s">
        <v>20</v>
      </c>
      <c r="G169">
        <v>1500.05</v>
      </c>
      <c r="H169">
        <v>1086.72</v>
      </c>
      <c r="I169">
        <v>413.33</v>
      </c>
      <c r="K169">
        <v>4</v>
      </c>
      <c r="L169" t="s">
        <v>22</v>
      </c>
      <c r="M169" t="s">
        <v>179</v>
      </c>
      <c r="N169">
        <v>4</v>
      </c>
      <c r="O169" t="s">
        <v>21</v>
      </c>
    </row>
    <row r="170" spans="1:15" x14ac:dyDescent="0.3">
      <c r="A170" t="s">
        <v>407</v>
      </c>
      <c r="B170" s="3">
        <v>45568</v>
      </c>
      <c r="C170" t="s">
        <v>42</v>
      </c>
      <c r="D170" t="s">
        <v>80</v>
      </c>
      <c r="E170" t="s">
        <v>84</v>
      </c>
      <c r="F170" t="s">
        <v>73</v>
      </c>
      <c r="G170">
        <v>419.94</v>
      </c>
      <c r="H170">
        <v>307.89</v>
      </c>
      <c r="I170">
        <v>112.05</v>
      </c>
      <c r="K170">
        <v>2</v>
      </c>
      <c r="L170" t="s">
        <v>29</v>
      </c>
      <c r="M170" t="s">
        <v>68</v>
      </c>
      <c r="N170">
        <v>4</v>
      </c>
      <c r="O170" t="s">
        <v>21</v>
      </c>
    </row>
    <row r="171" spans="1:15" x14ac:dyDescent="0.3">
      <c r="A171" t="s">
        <v>408</v>
      </c>
      <c r="B171" s="3">
        <v>45420</v>
      </c>
      <c r="C171" t="s">
        <v>33</v>
      </c>
      <c r="D171" t="s">
        <v>93</v>
      </c>
      <c r="E171" t="s">
        <v>87</v>
      </c>
      <c r="F171" t="s">
        <v>36</v>
      </c>
      <c r="G171">
        <v>830.34</v>
      </c>
      <c r="H171">
        <v>637.04999999999995</v>
      </c>
      <c r="I171">
        <v>193.29</v>
      </c>
      <c r="K171">
        <v>5</v>
      </c>
      <c r="L171" t="s">
        <v>22</v>
      </c>
      <c r="M171" t="s">
        <v>104</v>
      </c>
      <c r="N171">
        <v>2</v>
      </c>
      <c r="O171" t="s">
        <v>21</v>
      </c>
    </row>
    <row r="172" spans="1:15" x14ac:dyDescent="0.3">
      <c r="A172" t="s">
        <v>410</v>
      </c>
      <c r="B172" s="3">
        <v>45648</v>
      </c>
      <c r="C172" t="s">
        <v>42</v>
      </c>
      <c r="D172" t="s">
        <v>83</v>
      </c>
      <c r="E172" t="s">
        <v>19</v>
      </c>
      <c r="F172" t="s">
        <v>28</v>
      </c>
      <c r="G172">
        <v>1885.16</v>
      </c>
      <c r="H172">
        <v>1340.44</v>
      </c>
      <c r="I172">
        <v>544.72</v>
      </c>
      <c r="K172">
        <v>3</v>
      </c>
      <c r="L172" t="s">
        <v>22</v>
      </c>
      <c r="M172" t="s">
        <v>179</v>
      </c>
      <c r="N172">
        <v>4</v>
      </c>
      <c r="O172" t="s">
        <v>21</v>
      </c>
    </row>
    <row r="173" spans="1:15" x14ac:dyDescent="0.3">
      <c r="A173" t="s">
        <v>412</v>
      </c>
      <c r="B173" s="3">
        <v>45437</v>
      </c>
      <c r="C173" t="s">
        <v>7</v>
      </c>
      <c r="D173" t="s">
        <v>65</v>
      </c>
      <c r="E173" t="s">
        <v>87</v>
      </c>
      <c r="F173" t="s">
        <v>73</v>
      </c>
      <c r="G173">
        <v>3483.01</v>
      </c>
      <c r="H173">
        <v>2121.6</v>
      </c>
      <c r="I173">
        <v>1361.41</v>
      </c>
      <c r="K173">
        <v>4</v>
      </c>
      <c r="L173" t="s">
        <v>22</v>
      </c>
      <c r="M173" t="s">
        <v>104</v>
      </c>
      <c r="N173">
        <v>2</v>
      </c>
      <c r="O173" t="s">
        <v>21</v>
      </c>
    </row>
    <row r="174" spans="1:15" x14ac:dyDescent="0.3">
      <c r="A174" t="s">
        <v>414</v>
      </c>
      <c r="B174" s="3">
        <v>45504</v>
      </c>
      <c r="C174" t="s">
        <v>59</v>
      </c>
      <c r="D174" t="s">
        <v>194</v>
      </c>
      <c r="E174" t="s">
        <v>35</v>
      </c>
      <c r="F174" t="s">
        <v>28</v>
      </c>
      <c r="G174">
        <v>2903.79</v>
      </c>
      <c r="H174">
        <v>2173.67</v>
      </c>
      <c r="I174">
        <v>730.12</v>
      </c>
      <c r="K174">
        <v>2</v>
      </c>
      <c r="L174" t="s">
        <v>29</v>
      </c>
      <c r="M174" t="s">
        <v>54</v>
      </c>
      <c r="N174">
        <v>3</v>
      </c>
      <c r="O174" t="s">
        <v>21</v>
      </c>
    </row>
    <row r="175" spans="1:15" x14ac:dyDescent="0.3">
      <c r="A175" t="s">
        <v>416</v>
      </c>
      <c r="B175" s="3">
        <v>45394</v>
      </c>
      <c r="C175" t="s">
        <v>17</v>
      </c>
      <c r="D175" t="s">
        <v>100</v>
      </c>
      <c r="E175" t="s">
        <v>84</v>
      </c>
      <c r="F175" t="s">
        <v>418</v>
      </c>
      <c r="G175">
        <v>2821.54</v>
      </c>
      <c r="H175">
        <v>1987.46</v>
      </c>
      <c r="I175">
        <v>834.08</v>
      </c>
      <c r="K175">
        <v>4</v>
      </c>
      <c r="L175" t="s">
        <v>22</v>
      </c>
      <c r="M175" t="s">
        <v>16</v>
      </c>
      <c r="N175">
        <v>2</v>
      </c>
      <c r="O175" t="s">
        <v>21</v>
      </c>
    </row>
    <row r="176" spans="1:15" x14ac:dyDescent="0.3">
      <c r="A176" t="s">
        <v>419</v>
      </c>
      <c r="B176" s="3">
        <v>45303</v>
      </c>
      <c r="C176" t="s">
        <v>33</v>
      </c>
      <c r="D176" t="s">
        <v>1698</v>
      </c>
      <c r="E176" t="s">
        <v>35</v>
      </c>
      <c r="F176" t="s">
        <v>421</v>
      </c>
      <c r="G176">
        <v>2736.32</v>
      </c>
      <c r="H176">
        <v>2004.89</v>
      </c>
      <c r="I176">
        <v>731.43</v>
      </c>
      <c r="J176">
        <v>6</v>
      </c>
      <c r="K176">
        <v>2</v>
      </c>
      <c r="L176" t="s">
        <v>22</v>
      </c>
      <c r="M176" t="s">
        <v>25</v>
      </c>
      <c r="N176">
        <v>1</v>
      </c>
      <c r="O176" t="s">
        <v>56</v>
      </c>
    </row>
    <row r="177" spans="1:15" x14ac:dyDescent="0.3">
      <c r="A177" t="s">
        <v>422</v>
      </c>
      <c r="B177" s="3">
        <v>45613</v>
      </c>
      <c r="C177" t="s">
        <v>33</v>
      </c>
      <c r="D177" t="s">
        <v>119</v>
      </c>
      <c r="E177" t="s">
        <v>35</v>
      </c>
      <c r="F177" t="s">
        <v>28</v>
      </c>
      <c r="G177">
        <v>2379.4899999999998</v>
      </c>
      <c r="H177">
        <v>1811.09</v>
      </c>
      <c r="I177">
        <v>568.4</v>
      </c>
      <c r="K177">
        <v>5</v>
      </c>
      <c r="L177" t="s">
        <v>22</v>
      </c>
      <c r="M177" t="s">
        <v>111</v>
      </c>
      <c r="N177">
        <v>4</v>
      </c>
      <c r="O177" t="s">
        <v>21</v>
      </c>
    </row>
    <row r="178" spans="1:15" x14ac:dyDescent="0.3">
      <c r="A178" t="s">
        <v>424</v>
      </c>
      <c r="B178" s="3">
        <v>45457</v>
      </c>
      <c r="C178" t="s">
        <v>17</v>
      </c>
      <c r="D178" t="s">
        <v>72</v>
      </c>
      <c r="E178" t="s">
        <v>19</v>
      </c>
      <c r="F178" t="s">
        <v>44</v>
      </c>
      <c r="G178">
        <v>1397.15</v>
      </c>
      <c r="H178">
        <v>900.43</v>
      </c>
      <c r="I178">
        <v>496.72</v>
      </c>
      <c r="K178">
        <v>4</v>
      </c>
      <c r="L178" t="s">
        <v>22</v>
      </c>
      <c r="M178" t="s">
        <v>64</v>
      </c>
      <c r="N178">
        <v>2</v>
      </c>
      <c r="O178" t="s">
        <v>21</v>
      </c>
    </row>
    <row r="179" spans="1:15" x14ac:dyDescent="0.3">
      <c r="A179" t="s">
        <v>426</v>
      </c>
      <c r="B179" s="3">
        <v>45324</v>
      </c>
      <c r="C179" t="s">
        <v>17</v>
      </c>
      <c r="D179" t="s">
        <v>96</v>
      </c>
      <c r="E179" t="s">
        <v>84</v>
      </c>
      <c r="F179" t="s">
        <v>20</v>
      </c>
      <c r="G179">
        <v>2273.66</v>
      </c>
      <c r="H179">
        <v>1731.37</v>
      </c>
      <c r="I179">
        <v>542.29</v>
      </c>
      <c r="K179">
        <v>4</v>
      </c>
      <c r="L179" t="s">
        <v>22</v>
      </c>
      <c r="M179" t="s">
        <v>124</v>
      </c>
      <c r="N179">
        <v>1</v>
      </c>
      <c r="O179" t="s">
        <v>21</v>
      </c>
    </row>
    <row r="180" spans="1:15" x14ac:dyDescent="0.3">
      <c r="A180" t="s">
        <v>428</v>
      </c>
      <c r="B180" s="3">
        <v>45547</v>
      </c>
      <c r="C180" t="s">
        <v>33</v>
      </c>
      <c r="D180" t="s">
        <v>119</v>
      </c>
      <c r="E180" t="s">
        <v>84</v>
      </c>
      <c r="F180" t="s">
        <v>36</v>
      </c>
      <c r="G180">
        <v>1347.22</v>
      </c>
      <c r="H180">
        <v>852.43</v>
      </c>
      <c r="I180">
        <v>494.79</v>
      </c>
      <c r="K180">
        <v>5</v>
      </c>
      <c r="L180" t="s">
        <v>22</v>
      </c>
      <c r="M180" t="s">
        <v>115</v>
      </c>
      <c r="N180">
        <v>3</v>
      </c>
      <c r="O180" t="s">
        <v>21</v>
      </c>
    </row>
    <row r="181" spans="1:15" x14ac:dyDescent="0.3">
      <c r="A181" t="s">
        <v>430</v>
      </c>
      <c r="B181" s="3">
        <v>45461</v>
      </c>
      <c r="C181" t="s">
        <v>42</v>
      </c>
      <c r="D181" t="s">
        <v>80</v>
      </c>
      <c r="E181" t="s">
        <v>19</v>
      </c>
      <c r="F181" t="s">
        <v>44</v>
      </c>
      <c r="G181">
        <v>2854.36</v>
      </c>
      <c r="H181">
        <v>2234.11</v>
      </c>
      <c r="I181">
        <v>620.25</v>
      </c>
      <c r="J181">
        <v>8</v>
      </c>
      <c r="K181">
        <v>1</v>
      </c>
      <c r="L181" t="s">
        <v>29</v>
      </c>
      <c r="M181" t="s">
        <v>64</v>
      </c>
      <c r="N181">
        <v>2</v>
      </c>
      <c r="O181" t="s">
        <v>56</v>
      </c>
    </row>
    <row r="182" spans="1:15" x14ac:dyDescent="0.3">
      <c r="A182" t="s">
        <v>432</v>
      </c>
      <c r="B182" s="3">
        <v>45573</v>
      </c>
      <c r="C182" t="s">
        <v>59</v>
      </c>
      <c r="D182" t="s">
        <v>301</v>
      </c>
      <c r="E182" t="s">
        <v>87</v>
      </c>
      <c r="F182" t="s">
        <v>73</v>
      </c>
      <c r="G182">
        <v>3392.46</v>
      </c>
      <c r="H182">
        <v>1866.57</v>
      </c>
      <c r="I182">
        <v>1525.89</v>
      </c>
      <c r="J182">
        <v>1</v>
      </c>
      <c r="K182">
        <v>2</v>
      </c>
      <c r="L182" t="s">
        <v>22</v>
      </c>
      <c r="M182" t="s">
        <v>68</v>
      </c>
      <c r="N182">
        <v>4</v>
      </c>
      <c r="O182" t="s">
        <v>56</v>
      </c>
    </row>
    <row r="183" spans="1:15" x14ac:dyDescent="0.3">
      <c r="A183" t="s">
        <v>434</v>
      </c>
      <c r="B183" s="3">
        <v>45364</v>
      </c>
      <c r="C183" t="s">
        <v>33</v>
      </c>
      <c r="D183" t="s">
        <v>105</v>
      </c>
      <c r="E183" t="s">
        <v>87</v>
      </c>
      <c r="F183" t="s">
        <v>28</v>
      </c>
      <c r="G183">
        <v>1702.99</v>
      </c>
      <c r="H183">
        <v>1211.72</v>
      </c>
      <c r="I183">
        <v>491.27</v>
      </c>
      <c r="K183">
        <v>5</v>
      </c>
      <c r="L183" t="s">
        <v>22</v>
      </c>
      <c r="M183" t="s">
        <v>76</v>
      </c>
      <c r="N183">
        <v>1</v>
      </c>
      <c r="O183" t="s">
        <v>21</v>
      </c>
    </row>
    <row r="184" spans="1:15" x14ac:dyDescent="0.3">
      <c r="A184" t="s">
        <v>436</v>
      </c>
      <c r="B184" s="3">
        <v>45387</v>
      </c>
      <c r="C184" t="s">
        <v>7</v>
      </c>
      <c r="D184" t="s">
        <v>69</v>
      </c>
      <c r="E184" t="s">
        <v>40</v>
      </c>
      <c r="F184" t="s">
        <v>28</v>
      </c>
      <c r="G184">
        <v>3287.64</v>
      </c>
      <c r="H184">
        <v>2598.9899999999998</v>
      </c>
      <c r="I184">
        <v>688.65</v>
      </c>
      <c r="K184">
        <v>5</v>
      </c>
      <c r="L184" t="s">
        <v>22</v>
      </c>
      <c r="M184" t="s">
        <v>16</v>
      </c>
      <c r="N184">
        <v>2</v>
      </c>
      <c r="O184" t="s">
        <v>21</v>
      </c>
    </row>
    <row r="185" spans="1:15" x14ac:dyDescent="0.3">
      <c r="A185" t="s">
        <v>438</v>
      </c>
      <c r="B185" s="3">
        <v>45643</v>
      </c>
      <c r="C185" t="s">
        <v>42</v>
      </c>
      <c r="D185" t="s">
        <v>80</v>
      </c>
      <c r="E185" t="s">
        <v>35</v>
      </c>
      <c r="F185" t="s">
        <v>44</v>
      </c>
      <c r="G185">
        <v>1673.22</v>
      </c>
      <c r="H185">
        <v>1350.21</v>
      </c>
      <c r="I185">
        <v>323.01</v>
      </c>
      <c r="J185">
        <v>12</v>
      </c>
      <c r="K185">
        <v>3</v>
      </c>
      <c r="L185" t="s">
        <v>22</v>
      </c>
      <c r="M185" t="s">
        <v>179</v>
      </c>
      <c r="N185">
        <v>4</v>
      </c>
      <c r="O185" t="s">
        <v>56</v>
      </c>
    </row>
    <row r="186" spans="1:15" x14ac:dyDescent="0.3">
      <c r="A186" t="s">
        <v>440</v>
      </c>
      <c r="B186" s="3">
        <v>45385</v>
      </c>
      <c r="C186" t="s">
        <v>42</v>
      </c>
      <c r="D186" t="s">
        <v>80</v>
      </c>
      <c r="E186" t="s">
        <v>27</v>
      </c>
      <c r="F186" t="s">
        <v>73</v>
      </c>
      <c r="G186">
        <v>2320.2600000000002</v>
      </c>
      <c r="H186">
        <v>1797.64</v>
      </c>
      <c r="I186">
        <v>522.62</v>
      </c>
      <c r="K186">
        <v>4</v>
      </c>
      <c r="L186" t="s">
        <v>22</v>
      </c>
      <c r="M186" t="s">
        <v>16</v>
      </c>
      <c r="N186">
        <v>2</v>
      </c>
      <c r="O186" t="s">
        <v>21</v>
      </c>
    </row>
    <row r="187" spans="1:15" x14ac:dyDescent="0.3">
      <c r="A187" t="s">
        <v>442</v>
      </c>
      <c r="B187" s="3">
        <v>45450</v>
      </c>
      <c r="C187" t="s">
        <v>42</v>
      </c>
      <c r="D187" t="s">
        <v>262</v>
      </c>
      <c r="E187" t="s">
        <v>19</v>
      </c>
      <c r="F187" t="s">
        <v>20</v>
      </c>
      <c r="G187">
        <v>1597.87</v>
      </c>
      <c r="H187">
        <v>1367.98</v>
      </c>
      <c r="I187">
        <v>229.89</v>
      </c>
      <c r="J187">
        <v>11</v>
      </c>
      <c r="K187">
        <v>2</v>
      </c>
      <c r="L187" t="s">
        <v>22</v>
      </c>
      <c r="M187" t="s">
        <v>64</v>
      </c>
      <c r="N187">
        <v>2</v>
      </c>
      <c r="O187" t="s">
        <v>56</v>
      </c>
    </row>
    <row r="188" spans="1:15" x14ac:dyDescent="0.3">
      <c r="A188" t="s">
        <v>444</v>
      </c>
      <c r="B188" s="3">
        <v>45480</v>
      </c>
      <c r="C188" t="s">
        <v>17</v>
      </c>
      <c r="D188" t="s">
        <v>18</v>
      </c>
      <c r="E188" t="s">
        <v>40</v>
      </c>
      <c r="F188" t="s">
        <v>36</v>
      </c>
      <c r="G188">
        <v>3749.08</v>
      </c>
      <c r="H188">
        <v>2872.03</v>
      </c>
      <c r="I188">
        <v>877.05</v>
      </c>
      <c r="K188">
        <v>4</v>
      </c>
      <c r="L188" t="s">
        <v>22</v>
      </c>
      <c r="M188" t="s">
        <v>54</v>
      </c>
      <c r="N188">
        <v>3</v>
      </c>
      <c r="O188" t="s">
        <v>21</v>
      </c>
    </row>
    <row r="189" spans="1:15" x14ac:dyDescent="0.3">
      <c r="A189" t="s">
        <v>446</v>
      </c>
      <c r="B189" s="3">
        <v>45415</v>
      </c>
      <c r="C189" t="s">
        <v>7</v>
      </c>
      <c r="D189" t="s">
        <v>131</v>
      </c>
      <c r="E189" t="s">
        <v>40</v>
      </c>
      <c r="F189" t="s">
        <v>44</v>
      </c>
      <c r="G189">
        <v>870.73</v>
      </c>
      <c r="H189">
        <v>555.72</v>
      </c>
      <c r="I189">
        <v>315.01</v>
      </c>
      <c r="K189">
        <v>5</v>
      </c>
      <c r="L189" t="s">
        <v>22</v>
      </c>
      <c r="M189" t="s">
        <v>104</v>
      </c>
      <c r="N189">
        <v>2</v>
      </c>
      <c r="O189" t="s">
        <v>21</v>
      </c>
    </row>
    <row r="190" spans="1:15" x14ac:dyDescent="0.3">
      <c r="A190" t="s">
        <v>447</v>
      </c>
      <c r="B190" s="3">
        <v>45296</v>
      </c>
      <c r="C190" t="s">
        <v>33</v>
      </c>
      <c r="D190" t="s">
        <v>39</v>
      </c>
      <c r="E190" t="s">
        <v>84</v>
      </c>
      <c r="F190" t="s">
        <v>73</v>
      </c>
      <c r="G190">
        <v>1884.23</v>
      </c>
      <c r="H190">
        <v>1346.13</v>
      </c>
      <c r="I190">
        <v>538.1</v>
      </c>
      <c r="J190">
        <v>1</v>
      </c>
      <c r="K190">
        <v>2</v>
      </c>
      <c r="L190" t="s">
        <v>29</v>
      </c>
      <c r="M190" t="s">
        <v>25</v>
      </c>
      <c r="N190">
        <v>1</v>
      </c>
      <c r="O190" t="s">
        <v>56</v>
      </c>
    </row>
    <row r="191" spans="1:15" x14ac:dyDescent="0.3">
      <c r="A191" t="s">
        <v>449</v>
      </c>
      <c r="B191" s="3">
        <v>45564</v>
      </c>
      <c r="C191" t="s">
        <v>33</v>
      </c>
      <c r="D191" t="s">
        <v>297</v>
      </c>
      <c r="E191" t="s">
        <v>87</v>
      </c>
      <c r="F191" t="s">
        <v>44</v>
      </c>
      <c r="G191">
        <v>2422.33</v>
      </c>
      <c r="H191">
        <v>1654.97</v>
      </c>
      <c r="I191">
        <v>767.36</v>
      </c>
      <c r="K191">
        <v>5</v>
      </c>
      <c r="L191" t="s">
        <v>22</v>
      </c>
      <c r="M191" t="s">
        <v>115</v>
      </c>
      <c r="N191">
        <v>3</v>
      </c>
      <c r="O191" t="s">
        <v>21</v>
      </c>
    </row>
    <row r="192" spans="1:15" x14ac:dyDescent="0.3">
      <c r="A192" t="s">
        <v>451</v>
      </c>
      <c r="B192" s="3">
        <v>45569</v>
      </c>
      <c r="C192" t="s">
        <v>7</v>
      </c>
      <c r="D192" t="s">
        <v>131</v>
      </c>
      <c r="E192" t="s">
        <v>19</v>
      </c>
      <c r="F192" t="s">
        <v>73</v>
      </c>
      <c r="G192">
        <v>506.66</v>
      </c>
      <c r="H192">
        <v>305.5</v>
      </c>
      <c r="I192">
        <v>201.16</v>
      </c>
      <c r="L192" t="s">
        <v>22</v>
      </c>
      <c r="M192" t="s">
        <v>68</v>
      </c>
      <c r="N192">
        <v>4</v>
      </c>
      <c r="O192" t="s">
        <v>21</v>
      </c>
    </row>
    <row r="193" spans="1:15" x14ac:dyDescent="0.3">
      <c r="A193" t="s">
        <v>453</v>
      </c>
      <c r="B193" s="3">
        <v>45438</v>
      </c>
      <c r="C193" t="s">
        <v>7</v>
      </c>
      <c r="D193" t="s">
        <v>55</v>
      </c>
      <c r="E193" t="s">
        <v>35</v>
      </c>
      <c r="F193" t="s">
        <v>28</v>
      </c>
      <c r="G193">
        <v>2748.73</v>
      </c>
      <c r="H193">
        <v>1669.93</v>
      </c>
      <c r="I193">
        <v>1078.8</v>
      </c>
      <c r="J193">
        <v>7</v>
      </c>
      <c r="K193">
        <v>3</v>
      </c>
      <c r="L193" t="s">
        <v>22</v>
      </c>
      <c r="M193" t="s">
        <v>104</v>
      </c>
      <c r="N193">
        <v>2</v>
      </c>
      <c r="O193" t="s">
        <v>56</v>
      </c>
    </row>
    <row r="194" spans="1:15" x14ac:dyDescent="0.3">
      <c r="A194" t="s">
        <v>455</v>
      </c>
      <c r="B194" s="3">
        <v>45412</v>
      </c>
      <c r="C194" t="s">
        <v>59</v>
      </c>
      <c r="D194" t="s">
        <v>308</v>
      </c>
      <c r="E194" t="s">
        <v>27</v>
      </c>
      <c r="F194" t="s">
        <v>73</v>
      </c>
      <c r="G194">
        <v>358.12</v>
      </c>
      <c r="H194">
        <v>207.55</v>
      </c>
      <c r="I194">
        <v>150.57</v>
      </c>
      <c r="J194">
        <v>5</v>
      </c>
      <c r="K194">
        <v>3</v>
      </c>
      <c r="L194" t="s">
        <v>22</v>
      </c>
      <c r="M194" t="s">
        <v>16</v>
      </c>
      <c r="N194">
        <v>2</v>
      </c>
      <c r="O194" t="s">
        <v>56</v>
      </c>
    </row>
    <row r="195" spans="1:15" x14ac:dyDescent="0.3">
      <c r="A195" t="s">
        <v>457</v>
      </c>
      <c r="B195" s="3">
        <v>45305</v>
      </c>
      <c r="C195" t="s">
        <v>42</v>
      </c>
      <c r="D195" t="s">
        <v>80</v>
      </c>
      <c r="E195" t="s">
        <v>84</v>
      </c>
      <c r="F195" t="s">
        <v>36</v>
      </c>
      <c r="G195">
        <v>3261.77</v>
      </c>
      <c r="H195">
        <v>2696.42</v>
      </c>
      <c r="I195">
        <v>565.35</v>
      </c>
      <c r="K195">
        <v>3</v>
      </c>
      <c r="L195" t="s">
        <v>22</v>
      </c>
      <c r="M195" t="s">
        <v>25</v>
      </c>
      <c r="N195">
        <v>1</v>
      </c>
      <c r="O195" t="s">
        <v>21</v>
      </c>
    </row>
    <row r="196" spans="1:15" x14ac:dyDescent="0.3">
      <c r="A196" t="s">
        <v>459</v>
      </c>
      <c r="B196" s="3">
        <v>45384</v>
      </c>
      <c r="C196" t="s">
        <v>59</v>
      </c>
      <c r="D196" t="s">
        <v>108</v>
      </c>
      <c r="E196" t="s">
        <v>87</v>
      </c>
      <c r="F196" t="s">
        <v>73</v>
      </c>
      <c r="G196">
        <v>3336.42</v>
      </c>
      <c r="H196">
        <v>2120.0700000000002</v>
      </c>
      <c r="I196">
        <v>1216.3499999999999</v>
      </c>
      <c r="K196">
        <v>3</v>
      </c>
      <c r="L196" t="s">
        <v>22</v>
      </c>
      <c r="M196" t="s">
        <v>16</v>
      </c>
      <c r="N196">
        <v>2</v>
      </c>
      <c r="O196" t="s">
        <v>21</v>
      </c>
    </row>
    <row r="197" spans="1:15" x14ac:dyDescent="0.3">
      <c r="A197" t="s">
        <v>461</v>
      </c>
      <c r="B197" s="3">
        <v>45322</v>
      </c>
      <c r="C197" t="s">
        <v>42</v>
      </c>
      <c r="D197" t="s">
        <v>43</v>
      </c>
      <c r="E197" t="s">
        <v>87</v>
      </c>
      <c r="F197" t="s">
        <v>36</v>
      </c>
      <c r="G197">
        <v>3438.26</v>
      </c>
      <c r="H197">
        <v>3045.46</v>
      </c>
      <c r="I197">
        <v>392.8</v>
      </c>
      <c r="K197">
        <v>5</v>
      </c>
      <c r="L197" t="s">
        <v>22</v>
      </c>
      <c r="M197" t="s">
        <v>25</v>
      </c>
      <c r="N197">
        <v>1</v>
      </c>
      <c r="O197" t="s">
        <v>21</v>
      </c>
    </row>
    <row r="198" spans="1:15" x14ac:dyDescent="0.3">
      <c r="A198" t="s">
        <v>464</v>
      </c>
      <c r="B198" s="3">
        <v>45464</v>
      </c>
      <c r="C198" t="s">
        <v>59</v>
      </c>
      <c r="D198" t="s">
        <v>1698</v>
      </c>
      <c r="E198" t="s">
        <v>40</v>
      </c>
      <c r="F198" t="s">
        <v>73</v>
      </c>
      <c r="G198">
        <v>1637.31</v>
      </c>
      <c r="H198">
        <v>1164.47</v>
      </c>
      <c r="I198">
        <v>472.84</v>
      </c>
      <c r="K198">
        <v>5</v>
      </c>
      <c r="L198" t="s">
        <v>29</v>
      </c>
      <c r="M198" t="s">
        <v>64</v>
      </c>
      <c r="N198">
        <v>2</v>
      </c>
      <c r="O198" t="s">
        <v>21</v>
      </c>
    </row>
    <row r="199" spans="1:15" x14ac:dyDescent="0.3">
      <c r="A199" t="s">
        <v>466</v>
      </c>
      <c r="B199" s="3">
        <v>45466</v>
      </c>
      <c r="C199" t="s">
        <v>42</v>
      </c>
      <c r="D199" t="s">
        <v>83</v>
      </c>
      <c r="E199" t="s">
        <v>27</v>
      </c>
      <c r="F199" t="s">
        <v>44</v>
      </c>
      <c r="G199">
        <v>1970.62</v>
      </c>
      <c r="H199">
        <v>1460.49</v>
      </c>
      <c r="I199">
        <v>510.13</v>
      </c>
      <c r="K199">
        <v>2</v>
      </c>
      <c r="L199" t="s">
        <v>29</v>
      </c>
      <c r="M199" t="s">
        <v>64</v>
      </c>
      <c r="N199">
        <v>2</v>
      </c>
      <c r="O199" t="s">
        <v>21</v>
      </c>
    </row>
    <row r="200" spans="1:15" x14ac:dyDescent="0.3">
      <c r="A200" t="s">
        <v>468</v>
      </c>
      <c r="B200" s="3">
        <v>45343</v>
      </c>
      <c r="C200" t="s">
        <v>17</v>
      </c>
      <c r="D200" t="s">
        <v>469</v>
      </c>
      <c r="E200" t="s">
        <v>27</v>
      </c>
      <c r="F200" t="s">
        <v>20</v>
      </c>
      <c r="G200">
        <v>2609.83</v>
      </c>
      <c r="H200">
        <v>1627.14</v>
      </c>
      <c r="I200">
        <v>982.69</v>
      </c>
      <c r="K200">
        <v>5</v>
      </c>
      <c r="L200" t="s">
        <v>22</v>
      </c>
      <c r="M200" t="s">
        <v>124</v>
      </c>
      <c r="N200">
        <v>1</v>
      </c>
      <c r="O200" t="s">
        <v>21</v>
      </c>
    </row>
    <row r="201" spans="1:15" x14ac:dyDescent="0.3">
      <c r="A201" t="s">
        <v>470</v>
      </c>
      <c r="B201" s="3">
        <v>45308</v>
      </c>
      <c r="C201" t="s">
        <v>42</v>
      </c>
      <c r="D201" t="s">
        <v>214</v>
      </c>
      <c r="E201" t="s">
        <v>19</v>
      </c>
      <c r="F201" t="s">
        <v>36</v>
      </c>
      <c r="G201">
        <v>1518.77</v>
      </c>
      <c r="H201">
        <v>1386.85</v>
      </c>
      <c r="I201">
        <v>131.91999999999999</v>
      </c>
      <c r="K201">
        <v>5</v>
      </c>
      <c r="L201" t="s">
        <v>29</v>
      </c>
      <c r="M201" t="s">
        <v>25</v>
      </c>
      <c r="N201">
        <v>1</v>
      </c>
      <c r="O201" t="s">
        <v>21</v>
      </c>
    </row>
    <row r="202" spans="1:15" x14ac:dyDescent="0.3">
      <c r="A202" t="s">
        <v>472</v>
      </c>
      <c r="B202" s="3">
        <v>45545</v>
      </c>
      <c r="C202" t="s">
        <v>7</v>
      </c>
      <c r="D202" t="s">
        <v>128</v>
      </c>
      <c r="E202" t="s">
        <v>35</v>
      </c>
      <c r="F202" t="s">
        <v>36</v>
      </c>
      <c r="G202">
        <v>2892.63</v>
      </c>
      <c r="H202">
        <v>2141.69</v>
      </c>
      <c r="I202">
        <v>750.94</v>
      </c>
      <c r="K202">
        <v>4</v>
      </c>
      <c r="L202" t="s">
        <v>22</v>
      </c>
      <c r="M202" t="s">
        <v>115</v>
      </c>
      <c r="N202">
        <v>3</v>
      </c>
      <c r="O202" t="s">
        <v>21</v>
      </c>
    </row>
    <row r="203" spans="1:15" x14ac:dyDescent="0.3">
      <c r="A203" t="s">
        <v>474</v>
      </c>
      <c r="B203" s="3">
        <v>45561</v>
      </c>
      <c r="C203" t="s">
        <v>42</v>
      </c>
      <c r="D203" t="s">
        <v>1698</v>
      </c>
      <c r="E203" t="s">
        <v>19</v>
      </c>
      <c r="F203" t="s">
        <v>36</v>
      </c>
      <c r="G203">
        <v>1368.01</v>
      </c>
      <c r="H203">
        <v>1196.8499999999999</v>
      </c>
      <c r="I203">
        <v>171.16</v>
      </c>
      <c r="K203">
        <v>4</v>
      </c>
      <c r="L203" t="s">
        <v>22</v>
      </c>
      <c r="M203" t="s">
        <v>115</v>
      </c>
      <c r="N203">
        <v>3</v>
      </c>
      <c r="O203" t="s">
        <v>21</v>
      </c>
    </row>
    <row r="204" spans="1:15" x14ac:dyDescent="0.3">
      <c r="A204" t="s">
        <v>476</v>
      </c>
      <c r="B204" s="3">
        <v>45463</v>
      </c>
      <c r="C204" t="s">
        <v>17</v>
      </c>
      <c r="D204" t="s">
        <v>18</v>
      </c>
      <c r="E204" t="s">
        <v>84</v>
      </c>
      <c r="F204" t="s">
        <v>36</v>
      </c>
      <c r="G204">
        <v>4003.73</v>
      </c>
      <c r="H204">
        <v>2886.04</v>
      </c>
      <c r="I204">
        <v>1117.69</v>
      </c>
      <c r="K204">
        <v>5</v>
      </c>
      <c r="L204" t="s">
        <v>22</v>
      </c>
      <c r="M204" t="s">
        <v>64</v>
      </c>
      <c r="N204">
        <v>2</v>
      </c>
      <c r="O204" t="s">
        <v>21</v>
      </c>
    </row>
    <row r="205" spans="1:15" x14ac:dyDescent="0.3">
      <c r="A205" t="s">
        <v>478</v>
      </c>
      <c r="B205" s="3">
        <v>45528</v>
      </c>
      <c r="C205" t="s">
        <v>59</v>
      </c>
      <c r="D205" t="s">
        <v>155</v>
      </c>
      <c r="E205" t="s">
        <v>35</v>
      </c>
      <c r="F205" t="s">
        <v>20</v>
      </c>
      <c r="G205">
        <v>1978.53</v>
      </c>
      <c r="H205">
        <v>1274.1600000000001</v>
      </c>
      <c r="I205">
        <v>704.37</v>
      </c>
      <c r="J205">
        <v>9</v>
      </c>
      <c r="K205">
        <v>2</v>
      </c>
      <c r="L205" t="s">
        <v>22</v>
      </c>
      <c r="M205" t="s">
        <v>32</v>
      </c>
      <c r="N205">
        <v>3</v>
      </c>
      <c r="O205" t="s">
        <v>56</v>
      </c>
    </row>
    <row r="206" spans="1:15" x14ac:dyDescent="0.3">
      <c r="A206" t="s">
        <v>481</v>
      </c>
      <c r="B206" s="3">
        <v>45447</v>
      </c>
      <c r="C206" t="s">
        <v>7</v>
      </c>
      <c r="D206" t="s">
        <v>65</v>
      </c>
      <c r="E206" t="s">
        <v>87</v>
      </c>
      <c r="F206" t="s">
        <v>44</v>
      </c>
      <c r="G206">
        <v>701.6</v>
      </c>
      <c r="H206">
        <v>442.47</v>
      </c>
      <c r="I206">
        <v>259.13</v>
      </c>
      <c r="K206">
        <v>5</v>
      </c>
      <c r="L206" t="s">
        <v>22</v>
      </c>
      <c r="M206" t="s">
        <v>64</v>
      </c>
      <c r="N206">
        <v>2</v>
      </c>
      <c r="O206" t="s">
        <v>21</v>
      </c>
    </row>
    <row r="207" spans="1:15" x14ac:dyDescent="0.3">
      <c r="A207" t="s">
        <v>483</v>
      </c>
      <c r="B207" s="3">
        <v>45436</v>
      </c>
      <c r="C207" t="s">
        <v>17</v>
      </c>
      <c r="D207" t="s">
        <v>469</v>
      </c>
      <c r="E207" t="s">
        <v>35</v>
      </c>
      <c r="F207" t="s">
        <v>44</v>
      </c>
      <c r="G207">
        <v>2446.79</v>
      </c>
      <c r="H207">
        <v>1582.32</v>
      </c>
      <c r="I207">
        <v>864.47</v>
      </c>
      <c r="K207">
        <v>4</v>
      </c>
      <c r="L207" t="s">
        <v>22</v>
      </c>
      <c r="M207" t="s">
        <v>104</v>
      </c>
      <c r="N207">
        <v>2</v>
      </c>
      <c r="O207" t="s">
        <v>21</v>
      </c>
    </row>
    <row r="208" spans="1:15" x14ac:dyDescent="0.3">
      <c r="A208" t="s">
        <v>485</v>
      </c>
      <c r="B208" s="3">
        <v>45549</v>
      </c>
      <c r="C208" t="s">
        <v>7</v>
      </c>
      <c r="D208" t="s">
        <v>185</v>
      </c>
      <c r="E208" t="s">
        <v>35</v>
      </c>
      <c r="F208" t="s">
        <v>73</v>
      </c>
      <c r="G208">
        <v>3467.62</v>
      </c>
      <c r="H208">
        <v>2014.22</v>
      </c>
      <c r="I208">
        <v>1453.4</v>
      </c>
      <c r="K208">
        <v>4</v>
      </c>
      <c r="L208" t="s">
        <v>22</v>
      </c>
      <c r="M208" t="s">
        <v>115</v>
      </c>
      <c r="N208">
        <v>3</v>
      </c>
      <c r="O208" t="s">
        <v>21</v>
      </c>
    </row>
    <row r="209" spans="1:15" x14ac:dyDescent="0.3">
      <c r="A209" t="s">
        <v>487</v>
      </c>
      <c r="B209" s="3">
        <v>45504</v>
      </c>
      <c r="C209" t="s">
        <v>17</v>
      </c>
      <c r="D209" t="s">
        <v>18</v>
      </c>
      <c r="E209" t="s">
        <v>40</v>
      </c>
      <c r="F209" t="s">
        <v>44</v>
      </c>
      <c r="G209">
        <v>1065.1099999999999</v>
      </c>
      <c r="H209">
        <v>786.83</v>
      </c>
      <c r="I209">
        <v>278.27999999999997</v>
      </c>
      <c r="K209">
        <v>5</v>
      </c>
      <c r="L209" t="s">
        <v>22</v>
      </c>
      <c r="M209" t="s">
        <v>54</v>
      </c>
      <c r="N209">
        <v>3</v>
      </c>
      <c r="O209" t="s">
        <v>21</v>
      </c>
    </row>
    <row r="210" spans="1:15" x14ac:dyDescent="0.3">
      <c r="A210" t="s">
        <v>488</v>
      </c>
      <c r="B210" s="3">
        <v>45453</v>
      </c>
      <c r="C210" t="s">
        <v>59</v>
      </c>
      <c r="D210" t="s">
        <v>490</v>
      </c>
      <c r="E210" t="s">
        <v>40</v>
      </c>
      <c r="F210" t="s">
        <v>44</v>
      </c>
      <c r="G210">
        <v>167.28</v>
      </c>
      <c r="H210">
        <v>100.14</v>
      </c>
      <c r="I210">
        <v>67.14</v>
      </c>
      <c r="K210">
        <v>5</v>
      </c>
      <c r="L210" t="s">
        <v>22</v>
      </c>
      <c r="M210" t="s">
        <v>64</v>
      </c>
      <c r="N210">
        <v>2</v>
      </c>
      <c r="O210" t="s">
        <v>21</v>
      </c>
    </row>
    <row r="211" spans="1:15" x14ac:dyDescent="0.3">
      <c r="A211" t="s">
        <v>491</v>
      </c>
      <c r="B211" s="3">
        <v>45576</v>
      </c>
      <c r="C211" t="s">
        <v>59</v>
      </c>
      <c r="D211" t="s">
        <v>301</v>
      </c>
      <c r="E211" t="s">
        <v>27</v>
      </c>
      <c r="F211" t="s">
        <v>44</v>
      </c>
      <c r="G211">
        <v>3110.83</v>
      </c>
      <c r="H211">
        <v>2123.81</v>
      </c>
      <c r="I211">
        <v>987.02</v>
      </c>
      <c r="K211">
        <v>5</v>
      </c>
      <c r="L211" t="s">
        <v>22</v>
      </c>
      <c r="M211" t="s">
        <v>68</v>
      </c>
      <c r="N211">
        <v>4</v>
      </c>
      <c r="O211" t="s">
        <v>21</v>
      </c>
    </row>
    <row r="212" spans="1:15" x14ac:dyDescent="0.3">
      <c r="A212" t="s">
        <v>493</v>
      </c>
      <c r="B212" s="3">
        <v>45549</v>
      </c>
      <c r="C212" t="s">
        <v>42</v>
      </c>
      <c r="D212" t="s">
        <v>162</v>
      </c>
      <c r="E212" t="s">
        <v>84</v>
      </c>
      <c r="F212" t="s">
        <v>20</v>
      </c>
      <c r="G212">
        <v>2378.84</v>
      </c>
      <c r="H212">
        <v>2067.58</v>
      </c>
      <c r="I212">
        <v>311.26</v>
      </c>
      <c r="K212">
        <v>3</v>
      </c>
      <c r="L212" t="s">
        <v>22</v>
      </c>
      <c r="M212" t="s">
        <v>115</v>
      </c>
      <c r="N212">
        <v>3</v>
      </c>
      <c r="O212" t="s">
        <v>21</v>
      </c>
    </row>
    <row r="213" spans="1:15" x14ac:dyDescent="0.3">
      <c r="A213" t="s">
        <v>495</v>
      </c>
      <c r="B213" s="3">
        <v>45481</v>
      </c>
      <c r="C213" t="s">
        <v>17</v>
      </c>
      <c r="D213" t="s">
        <v>469</v>
      </c>
      <c r="E213" t="s">
        <v>84</v>
      </c>
      <c r="F213" t="s">
        <v>20</v>
      </c>
      <c r="G213">
        <v>1198.29</v>
      </c>
      <c r="H213">
        <v>672.75</v>
      </c>
      <c r="I213">
        <v>525.54</v>
      </c>
      <c r="L213" t="s">
        <v>22</v>
      </c>
      <c r="M213" t="s">
        <v>54</v>
      </c>
      <c r="N213">
        <v>3</v>
      </c>
      <c r="O213" t="s">
        <v>21</v>
      </c>
    </row>
    <row r="214" spans="1:15" x14ac:dyDescent="0.3">
      <c r="A214" t="s">
        <v>496</v>
      </c>
      <c r="B214" s="3">
        <v>45525</v>
      </c>
      <c r="C214" t="s">
        <v>42</v>
      </c>
      <c r="D214" t="s">
        <v>80</v>
      </c>
      <c r="E214" t="s">
        <v>27</v>
      </c>
      <c r="F214" t="s">
        <v>28</v>
      </c>
      <c r="G214">
        <v>3143.5</v>
      </c>
      <c r="H214">
        <v>2681.36</v>
      </c>
      <c r="I214">
        <v>462.14</v>
      </c>
      <c r="K214">
        <v>4</v>
      </c>
      <c r="L214" t="s">
        <v>22</v>
      </c>
      <c r="M214" t="s">
        <v>32</v>
      </c>
      <c r="N214">
        <v>3</v>
      </c>
      <c r="O214" t="s">
        <v>21</v>
      </c>
    </row>
    <row r="215" spans="1:15" x14ac:dyDescent="0.3">
      <c r="A215" t="s">
        <v>499</v>
      </c>
      <c r="B215" s="3">
        <v>45629</v>
      </c>
      <c r="C215" t="s">
        <v>59</v>
      </c>
      <c r="D215" t="s">
        <v>60</v>
      </c>
      <c r="E215" t="s">
        <v>35</v>
      </c>
      <c r="F215" t="s">
        <v>20</v>
      </c>
      <c r="G215">
        <v>1437.37</v>
      </c>
      <c r="H215">
        <v>976.51</v>
      </c>
      <c r="I215">
        <v>460.86</v>
      </c>
      <c r="K215">
        <v>4</v>
      </c>
      <c r="L215" t="s">
        <v>22</v>
      </c>
      <c r="M215" t="s">
        <v>179</v>
      </c>
      <c r="N215">
        <v>4</v>
      </c>
      <c r="O215" t="s">
        <v>56</v>
      </c>
    </row>
    <row r="216" spans="1:15" x14ac:dyDescent="0.3">
      <c r="A216" t="s">
        <v>500</v>
      </c>
      <c r="B216" s="3">
        <v>45612</v>
      </c>
      <c r="C216" t="s">
        <v>33</v>
      </c>
      <c r="D216" t="s">
        <v>205</v>
      </c>
      <c r="E216" t="s">
        <v>87</v>
      </c>
      <c r="F216" t="s">
        <v>28</v>
      </c>
      <c r="G216">
        <v>1293.21</v>
      </c>
      <c r="H216">
        <v>742.74</v>
      </c>
      <c r="I216">
        <v>550.47</v>
      </c>
      <c r="K216">
        <v>2</v>
      </c>
      <c r="L216" t="s">
        <v>29</v>
      </c>
      <c r="M216" t="s">
        <v>111</v>
      </c>
      <c r="N216">
        <v>4</v>
      </c>
      <c r="O216" t="s">
        <v>21</v>
      </c>
    </row>
    <row r="217" spans="1:15" x14ac:dyDescent="0.3">
      <c r="A217" t="s">
        <v>501</v>
      </c>
      <c r="B217" s="3">
        <v>45370</v>
      </c>
      <c r="C217" t="s">
        <v>7</v>
      </c>
      <c r="D217" t="s">
        <v>55</v>
      </c>
      <c r="E217" t="s">
        <v>19</v>
      </c>
      <c r="F217" t="s">
        <v>28</v>
      </c>
      <c r="G217">
        <v>3347.31</v>
      </c>
      <c r="H217">
        <v>1956.23</v>
      </c>
      <c r="I217">
        <v>1391.08</v>
      </c>
      <c r="K217">
        <v>5</v>
      </c>
      <c r="L217" t="s">
        <v>29</v>
      </c>
      <c r="M217" t="s">
        <v>76</v>
      </c>
      <c r="N217">
        <v>1</v>
      </c>
      <c r="O217" t="s">
        <v>21</v>
      </c>
    </row>
    <row r="218" spans="1:15" x14ac:dyDescent="0.3">
      <c r="A218" t="s">
        <v>502</v>
      </c>
      <c r="B218" s="3">
        <v>45381</v>
      </c>
      <c r="C218" t="s">
        <v>42</v>
      </c>
      <c r="D218" t="s">
        <v>214</v>
      </c>
      <c r="E218" t="s">
        <v>84</v>
      </c>
      <c r="F218" t="s">
        <v>44</v>
      </c>
      <c r="G218">
        <v>3376.18</v>
      </c>
      <c r="H218">
        <v>2651.85</v>
      </c>
      <c r="I218">
        <v>724.33</v>
      </c>
      <c r="K218">
        <v>2</v>
      </c>
      <c r="L218" t="s">
        <v>22</v>
      </c>
      <c r="M218" t="s">
        <v>76</v>
      </c>
      <c r="N218">
        <v>1</v>
      </c>
      <c r="O218" t="s">
        <v>21</v>
      </c>
    </row>
    <row r="219" spans="1:15" x14ac:dyDescent="0.3">
      <c r="A219" t="s">
        <v>504</v>
      </c>
      <c r="B219" s="3">
        <v>45528</v>
      </c>
      <c r="C219" t="s">
        <v>7</v>
      </c>
      <c r="D219" t="s">
        <v>65</v>
      </c>
      <c r="E219" t="s">
        <v>27</v>
      </c>
      <c r="F219" t="s">
        <v>28</v>
      </c>
      <c r="G219">
        <v>1426.87</v>
      </c>
      <c r="H219">
        <v>1050.8699999999999</v>
      </c>
      <c r="I219">
        <v>376</v>
      </c>
      <c r="K219">
        <v>5</v>
      </c>
      <c r="L219" t="s">
        <v>29</v>
      </c>
      <c r="M219" t="s">
        <v>32</v>
      </c>
      <c r="N219">
        <v>3</v>
      </c>
      <c r="O219" t="s">
        <v>56</v>
      </c>
    </row>
    <row r="220" spans="1:15" x14ac:dyDescent="0.3">
      <c r="A220" t="s">
        <v>505</v>
      </c>
      <c r="B220" s="3">
        <v>45421</v>
      </c>
      <c r="C220" t="s">
        <v>7</v>
      </c>
      <c r="D220" t="s">
        <v>131</v>
      </c>
      <c r="E220" t="s">
        <v>35</v>
      </c>
      <c r="F220" t="s">
        <v>97</v>
      </c>
      <c r="G220">
        <v>1576.1</v>
      </c>
      <c r="H220">
        <v>1132.82</v>
      </c>
      <c r="I220">
        <v>443.28</v>
      </c>
      <c r="K220">
        <v>4</v>
      </c>
      <c r="L220" t="s">
        <v>29</v>
      </c>
      <c r="M220" t="s">
        <v>104</v>
      </c>
      <c r="N220">
        <v>2</v>
      </c>
      <c r="O220" t="s">
        <v>21</v>
      </c>
    </row>
    <row r="221" spans="1:15" x14ac:dyDescent="0.3">
      <c r="A221" t="s">
        <v>507</v>
      </c>
      <c r="B221" s="3">
        <v>45362</v>
      </c>
      <c r="C221" t="s">
        <v>33</v>
      </c>
      <c r="D221" t="s">
        <v>297</v>
      </c>
      <c r="E221" t="s">
        <v>1716</v>
      </c>
      <c r="F221" t="s">
        <v>28</v>
      </c>
      <c r="G221">
        <v>817.51</v>
      </c>
      <c r="H221">
        <v>619.73</v>
      </c>
      <c r="I221">
        <v>197.78</v>
      </c>
      <c r="K221">
        <v>5</v>
      </c>
      <c r="L221" t="s">
        <v>22</v>
      </c>
      <c r="M221" t="s">
        <v>76</v>
      </c>
      <c r="N221">
        <v>1</v>
      </c>
      <c r="O221" t="s">
        <v>21</v>
      </c>
    </row>
    <row r="222" spans="1:15" x14ac:dyDescent="0.3">
      <c r="A222" t="s">
        <v>508</v>
      </c>
      <c r="B222" s="3">
        <v>45342</v>
      </c>
      <c r="C222" t="s">
        <v>17</v>
      </c>
      <c r="D222" t="s">
        <v>96</v>
      </c>
      <c r="E222" t="s">
        <v>40</v>
      </c>
      <c r="F222" t="s">
        <v>73</v>
      </c>
      <c r="G222">
        <v>3141.66</v>
      </c>
      <c r="H222">
        <v>2450.65</v>
      </c>
      <c r="I222">
        <v>691.01</v>
      </c>
      <c r="J222">
        <v>6</v>
      </c>
      <c r="K222">
        <v>4</v>
      </c>
      <c r="L222" t="s">
        <v>29</v>
      </c>
      <c r="M222" t="s">
        <v>124</v>
      </c>
      <c r="N222">
        <v>1</v>
      </c>
      <c r="O222" t="s">
        <v>56</v>
      </c>
    </row>
    <row r="223" spans="1:15" x14ac:dyDescent="0.3">
      <c r="A223" t="s">
        <v>510</v>
      </c>
      <c r="B223" s="3">
        <v>45640</v>
      </c>
      <c r="C223" t="s">
        <v>59</v>
      </c>
      <c r="D223" t="s">
        <v>60</v>
      </c>
      <c r="E223" t="s">
        <v>35</v>
      </c>
      <c r="F223" t="s">
        <v>73</v>
      </c>
      <c r="G223">
        <v>643.67999999999995</v>
      </c>
      <c r="H223">
        <v>393.84</v>
      </c>
      <c r="I223">
        <v>249.84</v>
      </c>
      <c r="J223">
        <v>11</v>
      </c>
      <c r="K223">
        <v>3</v>
      </c>
      <c r="L223" t="s">
        <v>22</v>
      </c>
      <c r="M223" t="s">
        <v>179</v>
      </c>
      <c r="N223">
        <v>4</v>
      </c>
      <c r="O223" t="s">
        <v>56</v>
      </c>
    </row>
    <row r="224" spans="1:15" x14ac:dyDescent="0.3">
      <c r="A224" t="s">
        <v>512</v>
      </c>
      <c r="B224" s="3">
        <v>45628</v>
      </c>
      <c r="C224" t="s">
        <v>42</v>
      </c>
      <c r="D224" t="s">
        <v>162</v>
      </c>
      <c r="E224" t="s">
        <v>27</v>
      </c>
      <c r="F224" t="s">
        <v>73</v>
      </c>
      <c r="G224">
        <v>2320.0300000000002</v>
      </c>
      <c r="H224">
        <v>1885.06</v>
      </c>
      <c r="I224">
        <v>434.97</v>
      </c>
      <c r="K224">
        <v>5</v>
      </c>
      <c r="L224" t="s">
        <v>22</v>
      </c>
      <c r="M224" t="s">
        <v>179</v>
      </c>
      <c r="N224">
        <v>4</v>
      </c>
      <c r="O224" t="s">
        <v>21</v>
      </c>
    </row>
    <row r="225" spans="1:15" x14ac:dyDescent="0.3">
      <c r="A225" t="s">
        <v>514</v>
      </c>
      <c r="B225" s="3">
        <v>45347</v>
      </c>
      <c r="C225" t="s">
        <v>42</v>
      </c>
      <c r="D225" t="s">
        <v>43</v>
      </c>
      <c r="E225" t="s">
        <v>27</v>
      </c>
      <c r="F225" t="s">
        <v>20</v>
      </c>
      <c r="G225">
        <v>1099.6500000000001</v>
      </c>
      <c r="H225">
        <v>955.98</v>
      </c>
      <c r="I225">
        <v>143.66999999999999</v>
      </c>
      <c r="J225">
        <v>13</v>
      </c>
      <c r="K225">
        <v>3</v>
      </c>
      <c r="L225" t="s">
        <v>22</v>
      </c>
      <c r="M225" t="s">
        <v>124</v>
      </c>
      <c r="N225">
        <v>1</v>
      </c>
      <c r="O225" t="s">
        <v>56</v>
      </c>
    </row>
    <row r="226" spans="1:15" x14ac:dyDescent="0.3">
      <c r="A226" t="s">
        <v>516</v>
      </c>
      <c r="B226" s="3">
        <v>45518</v>
      </c>
      <c r="C226" t="s">
        <v>33</v>
      </c>
      <c r="D226" t="s">
        <v>34</v>
      </c>
      <c r="E226" t="s">
        <v>19</v>
      </c>
      <c r="F226" t="s">
        <v>20</v>
      </c>
      <c r="G226">
        <v>2300.9499999999998</v>
      </c>
      <c r="H226">
        <v>1626.18</v>
      </c>
      <c r="I226">
        <v>674.77</v>
      </c>
      <c r="K226">
        <v>4</v>
      </c>
      <c r="L226" t="s">
        <v>29</v>
      </c>
      <c r="M226" t="s">
        <v>32</v>
      </c>
      <c r="N226">
        <v>3</v>
      </c>
      <c r="O226" t="s">
        <v>21</v>
      </c>
    </row>
    <row r="227" spans="1:15" x14ac:dyDescent="0.3">
      <c r="A227" t="s">
        <v>518</v>
      </c>
      <c r="B227" s="3">
        <v>45594</v>
      </c>
      <c r="C227" t="s">
        <v>59</v>
      </c>
      <c r="D227" t="s">
        <v>60</v>
      </c>
      <c r="E227" t="s">
        <v>27</v>
      </c>
      <c r="F227" t="s">
        <v>28</v>
      </c>
      <c r="G227">
        <v>244.49</v>
      </c>
      <c r="H227">
        <v>177.29</v>
      </c>
      <c r="I227">
        <v>67.2</v>
      </c>
      <c r="K227">
        <v>5</v>
      </c>
      <c r="L227" t="s">
        <v>22</v>
      </c>
      <c r="M227" t="s">
        <v>68</v>
      </c>
      <c r="N227">
        <v>4</v>
      </c>
      <c r="O227" t="s">
        <v>21</v>
      </c>
    </row>
    <row r="228" spans="1:15" x14ac:dyDescent="0.3">
      <c r="A228" t="s">
        <v>520</v>
      </c>
      <c r="B228" s="3">
        <v>45522</v>
      </c>
      <c r="C228" t="s">
        <v>33</v>
      </c>
      <c r="D228" t="s">
        <v>1698</v>
      </c>
      <c r="E228" t="s">
        <v>87</v>
      </c>
      <c r="F228" t="s">
        <v>28</v>
      </c>
      <c r="G228">
        <v>1682.25</v>
      </c>
      <c r="H228">
        <v>1173.08</v>
      </c>
      <c r="I228">
        <v>509.17</v>
      </c>
      <c r="K228">
        <v>4</v>
      </c>
      <c r="L228" t="s">
        <v>22</v>
      </c>
      <c r="M228" t="s">
        <v>32</v>
      </c>
      <c r="N228">
        <v>3</v>
      </c>
      <c r="O228" t="s">
        <v>56</v>
      </c>
    </row>
    <row r="229" spans="1:15" x14ac:dyDescent="0.3">
      <c r="A229" t="s">
        <v>521</v>
      </c>
      <c r="B229" s="3">
        <v>45542</v>
      </c>
      <c r="C229" t="s">
        <v>42</v>
      </c>
      <c r="D229" t="s">
        <v>262</v>
      </c>
      <c r="E229" t="s">
        <v>35</v>
      </c>
      <c r="F229" t="s">
        <v>20</v>
      </c>
      <c r="G229">
        <v>850.95</v>
      </c>
      <c r="H229">
        <v>610.91</v>
      </c>
      <c r="I229">
        <v>240.04</v>
      </c>
      <c r="K229">
        <v>3</v>
      </c>
      <c r="L229" t="s">
        <v>29</v>
      </c>
      <c r="M229" t="s">
        <v>115</v>
      </c>
      <c r="N229">
        <v>3</v>
      </c>
      <c r="O229" t="s">
        <v>21</v>
      </c>
    </row>
    <row r="230" spans="1:15" x14ac:dyDescent="0.3">
      <c r="A230" t="s">
        <v>523</v>
      </c>
      <c r="B230" s="3">
        <v>45520</v>
      </c>
      <c r="C230" t="s">
        <v>59</v>
      </c>
      <c r="D230" t="s">
        <v>301</v>
      </c>
      <c r="E230" t="s">
        <v>84</v>
      </c>
      <c r="F230" t="s">
        <v>20</v>
      </c>
      <c r="G230">
        <v>2653.37</v>
      </c>
      <c r="H230">
        <v>1601.85</v>
      </c>
      <c r="I230">
        <v>1051.52</v>
      </c>
      <c r="K230">
        <v>4</v>
      </c>
      <c r="L230" t="s">
        <v>22</v>
      </c>
      <c r="M230" t="s">
        <v>32</v>
      </c>
      <c r="N230">
        <v>3</v>
      </c>
      <c r="O230" t="s">
        <v>21</v>
      </c>
    </row>
    <row r="231" spans="1:15" x14ac:dyDescent="0.3">
      <c r="A231" t="s">
        <v>525</v>
      </c>
      <c r="B231" s="3">
        <v>45495</v>
      </c>
      <c r="C231" t="s">
        <v>17</v>
      </c>
      <c r="D231" t="s">
        <v>100</v>
      </c>
      <c r="E231" t="s">
        <v>40</v>
      </c>
      <c r="F231" t="s">
        <v>44</v>
      </c>
      <c r="G231">
        <v>2775.48</v>
      </c>
      <c r="H231">
        <v>2125.0300000000002</v>
      </c>
      <c r="I231">
        <v>650.45000000000005</v>
      </c>
      <c r="J231">
        <v>7</v>
      </c>
      <c r="K231">
        <v>3</v>
      </c>
      <c r="L231" t="s">
        <v>22</v>
      </c>
      <c r="M231" t="s">
        <v>54</v>
      </c>
      <c r="N231">
        <v>3</v>
      </c>
      <c r="O231" t="s">
        <v>56</v>
      </c>
    </row>
    <row r="232" spans="1:15" x14ac:dyDescent="0.3">
      <c r="A232" t="s">
        <v>527</v>
      </c>
      <c r="B232" s="3">
        <v>45410</v>
      </c>
      <c r="C232" t="s">
        <v>17</v>
      </c>
      <c r="D232" t="s">
        <v>469</v>
      </c>
      <c r="E232" t="s">
        <v>27</v>
      </c>
      <c r="F232" t="s">
        <v>44</v>
      </c>
      <c r="G232">
        <v>3437.45</v>
      </c>
      <c r="H232">
        <v>2585.44</v>
      </c>
      <c r="I232">
        <v>852.01</v>
      </c>
      <c r="J232">
        <v>7</v>
      </c>
      <c r="K232">
        <v>4</v>
      </c>
      <c r="L232" t="s">
        <v>22</v>
      </c>
      <c r="M232" t="s">
        <v>16</v>
      </c>
      <c r="N232">
        <v>2</v>
      </c>
      <c r="O232" t="s">
        <v>56</v>
      </c>
    </row>
    <row r="233" spans="1:15" x14ac:dyDescent="0.3">
      <c r="A233" t="s">
        <v>528</v>
      </c>
      <c r="B233" s="3">
        <v>45443</v>
      </c>
      <c r="C233" t="s">
        <v>17</v>
      </c>
      <c r="D233" t="s">
        <v>26</v>
      </c>
      <c r="E233" t="s">
        <v>84</v>
      </c>
      <c r="F233" t="s">
        <v>73</v>
      </c>
      <c r="G233">
        <v>2007.28</v>
      </c>
      <c r="H233">
        <v>1200.27</v>
      </c>
      <c r="I233">
        <v>807.01</v>
      </c>
      <c r="K233">
        <v>5</v>
      </c>
      <c r="L233" t="s">
        <v>22</v>
      </c>
      <c r="M233" t="s">
        <v>104</v>
      </c>
      <c r="N233">
        <v>2</v>
      </c>
      <c r="O233" t="s">
        <v>21</v>
      </c>
    </row>
    <row r="234" spans="1:15" x14ac:dyDescent="0.3">
      <c r="A234" t="s">
        <v>529</v>
      </c>
      <c r="B234" s="3">
        <v>45371</v>
      </c>
      <c r="C234" t="s">
        <v>33</v>
      </c>
      <c r="D234" t="s">
        <v>34</v>
      </c>
      <c r="E234" t="s">
        <v>27</v>
      </c>
      <c r="F234" t="s">
        <v>28</v>
      </c>
      <c r="G234">
        <v>786.16</v>
      </c>
      <c r="H234">
        <v>475.17</v>
      </c>
      <c r="I234">
        <v>310.99</v>
      </c>
      <c r="K234">
        <v>5</v>
      </c>
      <c r="L234" t="s">
        <v>29</v>
      </c>
      <c r="M234" t="s">
        <v>76</v>
      </c>
      <c r="N234">
        <v>1</v>
      </c>
      <c r="O234" t="s">
        <v>21</v>
      </c>
    </row>
    <row r="235" spans="1:15" x14ac:dyDescent="0.3">
      <c r="A235" t="s">
        <v>530</v>
      </c>
      <c r="B235" s="3">
        <v>45324</v>
      </c>
      <c r="C235" t="s">
        <v>33</v>
      </c>
      <c r="D235" t="s">
        <v>93</v>
      </c>
      <c r="E235" t="s">
        <v>19</v>
      </c>
      <c r="F235" t="s">
        <v>28</v>
      </c>
      <c r="G235">
        <v>2889.63</v>
      </c>
      <c r="H235">
        <v>1666.11</v>
      </c>
      <c r="I235">
        <v>1223.52</v>
      </c>
      <c r="K235">
        <v>2</v>
      </c>
      <c r="L235" t="s">
        <v>29</v>
      </c>
      <c r="M235" t="s">
        <v>124</v>
      </c>
      <c r="N235">
        <v>1</v>
      </c>
      <c r="O235" t="s">
        <v>21</v>
      </c>
    </row>
    <row r="236" spans="1:15" x14ac:dyDescent="0.3">
      <c r="A236" t="s">
        <v>532</v>
      </c>
      <c r="B236" s="3">
        <v>45464</v>
      </c>
      <c r="C236" t="s">
        <v>33</v>
      </c>
      <c r="D236" t="s">
        <v>39</v>
      </c>
      <c r="E236" t="s">
        <v>35</v>
      </c>
      <c r="F236" t="s">
        <v>44</v>
      </c>
      <c r="G236">
        <v>246.14</v>
      </c>
      <c r="H236">
        <v>187.74</v>
      </c>
      <c r="I236">
        <v>58.4</v>
      </c>
      <c r="K236">
        <v>4</v>
      </c>
      <c r="L236" t="s">
        <v>29</v>
      </c>
      <c r="M236" t="s">
        <v>64</v>
      </c>
      <c r="N236">
        <v>2</v>
      </c>
      <c r="O236" t="s">
        <v>21</v>
      </c>
    </row>
    <row r="237" spans="1:15" x14ac:dyDescent="0.3">
      <c r="A237" t="s">
        <v>533</v>
      </c>
      <c r="B237" s="3">
        <v>45401</v>
      </c>
      <c r="C237" t="s">
        <v>42</v>
      </c>
      <c r="D237" t="s">
        <v>77</v>
      </c>
      <c r="E237" t="s">
        <v>27</v>
      </c>
      <c r="F237" t="s">
        <v>36</v>
      </c>
      <c r="G237">
        <v>1180.33</v>
      </c>
      <c r="H237">
        <v>843.38</v>
      </c>
      <c r="I237">
        <v>336.95</v>
      </c>
      <c r="K237">
        <v>4</v>
      </c>
      <c r="L237" t="s">
        <v>22</v>
      </c>
      <c r="M237" t="s">
        <v>16</v>
      </c>
      <c r="N237">
        <v>2</v>
      </c>
      <c r="O237" t="s">
        <v>21</v>
      </c>
    </row>
    <row r="238" spans="1:15" x14ac:dyDescent="0.3">
      <c r="A238" t="s">
        <v>535</v>
      </c>
      <c r="B238" s="3">
        <v>45465</v>
      </c>
      <c r="C238" t="s">
        <v>7</v>
      </c>
      <c r="D238" t="s">
        <v>185</v>
      </c>
      <c r="E238" t="s">
        <v>27</v>
      </c>
      <c r="F238" t="s">
        <v>44</v>
      </c>
      <c r="G238">
        <v>974.84</v>
      </c>
      <c r="H238">
        <v>570.62</v>
      </c>
      <c r="I238">
        <v>404.22</v>
      </c>
      <c r="K238">
        <v>4</v>
      </c>
      <c r="L238" t="s">
        <v>22</v>
      </c>
      <c r="M238" t="s">
        <v>64</v>
      </c>
      <c r="N238">
        <v>2</v>
      </c>
      <c r="O238" t="s">
        <v>21</v>
      </c>
    </row>
    <row r="239" spans="1:15" x14ac:dyDescent="0.3">
      <c r="A239" t="s">
        <v>537</v>
      </c>
      <c r="B239" s="3">
        <v>45382</v>
      </c>
      <c r="C239" t="s">
        <v>42</v>
      </c>
      <c r="D239" t="s">
        <v>77</v>
      </c>
      <c r="E239" t="s">
        <v>87</v>
      </c>
      <c r="F239" t="s">
        <v>36</v>
      </c>
      <c r="G239">
        <v>259.49</v>
      </c>
      <c r="H239">
        <v>198.28</v>
      </c>
      <c r="I239">
        <v>61.21</v>
      </c>
      <c r="K239">
        <v>5</v>
      </c>
      <c r="L239" t="s">
        <v>22</v>
      </c>
      <c r="M239" t="s">
        <v>76</v>
      </c>
      <c r="N239">
        <v>1</v>
      </c>
      <c r="O239" t="s">
        <v>21</v>
      </c>
    </row>
    <row r="240" spans="1:15" x14ac:dyDescent="0.3">
      <c r="A240" t="s">
        <v>538</v>
      </c>
      <c r="B240" s="3">
        <v>45608</v>
      </c>
      <c r="C240" t="s">
        <v>33</v>
      </c>
      <c r="D240" t="s">
        <v>119</v>
      </c>
      <c r="E240" t="s">
        <v>87</v>
      </c>
      <c r="F240" t="s">
        <v>36</v>
      </c>
      <c r="G240">
        <v>2977.52</v>
      </c>
      <c r="H240">
        <v>2350.23</v>
      </c>
      <c r="I240">
        <v>627.29</v>
      </c>
      <c r="K240">
        <v>1</v>
      </c>
      <c r="L240" t="s">
        <v>22</v>
      </c>
      <c r="M240" t="s">
        <v>111</v>
      </c>
      <c r="N240">
        <v>4</v>
      </c>
      <c r="O240" t="s">
        <v>21</v>
      </c>
    </row>
    <row r="241" spans="1:15" x14ac:dyDescent="0.3">
      <c r="A241" t="s">
        <v>540</v>
      </c>
      <c r="B241" s="3">
        <v>45398</v>
      </c>
      <c r="C241" t="s">
        <v>33</v>
      </c>
      <c r="D241" t="s">
        <v>171</v>
      </c>
      <c r="E241" t="s">
        <v>27</v>
      </c>
      <c r="F241" t="s">
        <v>36</v>
      </c>
      <c r="G241">
        <v>3280</v>
      </c>
      <c r="H241">
        <v>2127.9499999999998</v>
      </c>
      <c r="I241">
        <v>1152.05</v>
      </c>
      <c r="J241">
        <v>6</v>
      </c>
      <c r="K241">
        <v>2</v>
      </c>
      <c r="L241" t="s">
        <v>29</v>
      </c>
      <c r="M241" t="s">
        <v>16</v>
      </c>
      <c r="N241">
        <v>2</v>
      </c>
      <c r="O241" t="s">
        <v>56</v>
      </c>
    </row>
    <row r="242" spans="1:15" x14ac:dyDescent="0.3">
      <c r="A242" t="s">
        <v>542</v>
      </c>
      <c r="B242" s="3">
        <v>45385</v>
      </c>
      <c r="C242" t="s">
        <v>42</v>
      </c>
      <c r="D242" t="s">
        <v>262</v>
      </c>
      <c r="E242" t="s">
        <v>40</v>
      </c>
      <c r="F242" t="s">
        <v>36</v>
      </c>
      <c r="G242">
        <v>898.47</v>
      </c>
      <c r="H242">
        <v>800.02</v>
      </c>
      <c r="I242">
        <v>98.45</v>
      </c>
      <c r="J242">
        <v>4</v>
      </c>
      <c r="K242">
        <v>1</v>
      </c>
      <c r="L242" t="s">
        <v>29</v>
      </c>
      <c r="M242" t="s">
        <v>16</v>
      </c>
      <c r="N242">
        <v>2</v>
      </c>
      <c r="O242" t="s">
        <v>56</v>
      </c>
    </row>
    <row r="243" spans="1:15" x14ac:dyDescent="0.3">
      <c r="A243" t="s">
        <v>543</v>
      </c>
      <c r="B243" s="3">
        <v>45619</v>
      </c>
      <c r="C243" t="s">
        <v>33</v>
      </c>
      <c r="D243" t="s">
        <v>39</v>
      </c>
      <c r="E243" t="s">
        <v>40</v>
      </c>
      <c r="F243" t="s">
        <v>36</v>
      </c>
      <c r="G243">
        <v>702.67</v>
      </c>
      <c r="H243">
        <v>523.15</v>
      </c>
      <c r="I243">
        <v>179.52</v>
      </c>
      <c r="K243">
        <v>1</v>
      </c>
      <c r="L243" t="s">
        <v>22</v>
      </c>
      <c r="M243" t="s">
        <v>111</v>
      </c>
      <c r="N243">
        <v>4</v>
      </c>
      <c r="O243" t="s">
        <v>21</v>
      </c>
    </row>
    <row r="244" spans="1:15" x14ac:dyDescent="0.3">
      <c r="A244" t="s">
        <v>545</v>
      </c>
      <c r="B244" s="3">
        <v>45437</v>
      </c>
      <c r="C244" t="s">
        <v>7</v>
      </c>
      <c r="D244" t="s">
        <v>182</v>
      </c>
      <c r="E244" t="s">
        <v>87</v>
      </c>
      <c r="F244" t="s">
        <v>36</v>
      </c>
      <c r="G244">
        <v>733.39</v>
      </c>
      <c r="H244">
        <v>565.70000000000005</v>
      </c>
      <c r="I244">
        <v>167.69</v>
      </c>
      <c r="K244">
        <v>3</v>
      </c>
      <c r="L244" t="s">
        <v>29</v>
      </c>
      <c r="M244" t="s">
        <v>104</v>
      </c>
      <c r="N244">
        <v>2</v>
      </c>
      <c r="O244" t="s">
        <v>21</v>
      </c>
    </row>
    <row r="245" spans="1:15" x14ac:dyDescent="0.3">
      <c r="A245" t="s">
        <v>546</v>
      </c>
      <c r="B245" s="3">
        <v>45552</v>
      </c>
      <c r="C245" t="s">
        <v>42</v>
      </c>
      <c r="D245" t="s">
        <v>80</v>
      </c>
      <c r="E245" t="s">
        <v>40</v>
      </c>
      <c r="F245" t="s">
        <v>36</v>
      </c>
      <c r="G245">
        <v>2256.3000000000002</v>
      </c>
      <c r="H245">
        <v>1611.95</v>
      </c>
      <c r="I245">
        <v>644.35</v>
      </c>
      <c r="K245">
        <v>5</v>
      </c>
      <c r="L245" t="s">
        <v>29</v>
      </c>
      <c r="M245" t="s">
        <v>115</v>
      </c>
      <c r="N245">
        <v>3</v>
      </c>
      <c r="O245" t="s">
        <v>21</v>
      </c>
    </row>
    <row r="246" spans="1:15" x14ac:dyDescent="0.3">
      <c r="A246" t="s">
        <v>548</v>
      </c>
      <c r="B246" s="3">
        <v>45472</v>
      </c>
      <c r="C246" t="s">
        <v>17</v>
      </c>
      <c r="D246" t="s">
        <v>26</v>
      </c>
      <c r="E246" t="s">
        <v>19</v>
      </c>
      <c r="F246" t="s">
        <v>28</v>
      </c>
      <c r="G246">
        <v>847.14</v>
      </c>
      <c r="H246">
        <v>551.87</v>
      </c>
      <c r="I246">
        <v>295.27</v>
      </c>
      <c r="K246">
        <v>5</v>
      </c>
      <c r="L246" t="s">
        <v>22</v>
      </c>
      <c r="M246" t="s">
        <v>64</v>
      </c>
      <c r="N246">
        <v>2</v>
      </c>
      <c r="O246" t="s">
        <v>21</v>
      </c>
    </row>
    <row r="247" spans="1:15" x14ac:dyDescent="0.3">
      <c r="A247" t="s">
        <v>550</v>
      </c>
      <c r="B247" s="3">
        <v>45354</v>
      </c>
      <c r="C247" t="s">
        <v>17</v>
      </c>
      <c r="D247" t="s">
        <v>18</v>
      </c>
      <c r="E247" t="s">
        <v>40</v>
      </c>
      <c r="F247" t="s">
        <v>28</v>
      </c>
      <c r="G247">
        <v>2974.3</v>
      </c>
      <c r="H247">
        <v>2333.12</v>
      </c>
      <c r="I247">
        <v>641.17999999999995</v>
      </c>
      <c r="J247">
        <v>3</v>
      </c>
      <c r="K247">
        <v>1</v>
      </c>
      <c r="L247" t="s">
        <v>22</v>
      </c>
      <c r="M247" t="s">
        <v>76</v>
      </c>
      <c r="N247">
        <v>1</v>
      </c>
      <c r="O247" t="s">
        <v>56</v>
      </c>
    </row>
    <row r="248" spans="1:15" x14ac:dyDescent="0.3">
      <c r="A248" t="s">
        <v>552</v>
      </c>
      <c r="B248" s="3">
        <v>45653</v>
      </c>
      <c r="C248" t="s">
        <v>17</v>
      </c>
      <c r="D248" t="s">
        <v>26</v>
      </c>
      <c r="E248" t="s">
        <v>27</v>
      </c>
      <c r="F248" t="s">
        <v>20</v>
      </c>
      <c r="G248">
        <v>1781.59</v>
      </c>
      <c r="H248">
        <v>1104.6500000000001</v>
      </c>
      <c r="I248">
        <v>676.94</v>
      </c>
      <c r="J248">
        <v>6</v>
      </c>
      <c r="K248">
        <v>2</v>
      </c>
      <c r="L248" t="s">
        <v>22</v>
      </c>
      <c r="M248" t="s">
        <v>179</v>
      </c>
      <c r="N248">
        <v>4</v>
      </c>
      <c r="O248" t="s">
        <v>56</v>
      </c>
    </row>
    <row r="249" spans="1:15" x14ac:dyDescent="0.3">
      <c r="A249" t="s">
        <v>554</v>
      </c>
      <c r="B249" s="3">
        <v>45405</v>
      </c>
      <c r="C249" t="s">
        <v>33</v>
      </c>
      <c r="D249" t="s">
        <v>105</v>
      </c>
      <c r="E249" t="s">
        <v>19</v>
      </c>
      <c r="F249" t="s">
        <v>36</v>
      </c>
      <c r="G249">
        <v>2216.56</v>
      </c>
      <c r="H249">
        <v>1359.16</v>
      </c>
      <c r="I249">
        <v>857.4</v>
      </c>
      <c r="K249">
        <v>5</v>
      </c>
      <c r="L249" t="s">
        <v>22</v>
      </c>
      <c r="M249" t="s">
        <v>16</v>
      </c>
      <c r="N249">
        <v>2</v>
      </c>
      <c r="O249" t="s">
        <v>21</v>
      </c>
    </row>
    <row r="250" spans="1:15" x14ac:dyDescent="0.3">
      <c r="A250" t="s">
        <v>556</v>
      </c>
      <c r="B250" s="3">
        <v>45388</v>
      </c>
      <c r="C250" t="s">
        <v>59</v>
      </c>
      <c r="D250" t="s">
        <v>194</v>
      </c>
      <c r="E250" t="s">
        <v>87</v>
      </c>
      <c r="F250" t="s">
        <v>558</v>
      </c>
      <c r="G250">
        <v>936.64</v>
      </c>
      <c r="H250">
        <v>620.04999999999995</v>
      </c>
      <c r="I250">
        <v>316.58999999999997</v>
      </c>
      <c r="K250">
        <v>5</v>
      </c>
      <c r="L250" t="s">
        <v>22</v>
      </c>
      <c r="M250" t="s">
        <v>16</v>
      </c>
      <c r="N250">
        <v>2</v>
      </c>
      <c r="O250" t="s">
        <v>21</v>
      </c>
    </row>
    <row r="251" spans="1:15" x14ac:dyDescent="0.3">
      <c r="A251" t="s">
        <v>559</v>
      </c>
      <c r="B251" s="3">
        <v>45627</v>
      </c>
      <c r="C251" t="s">
        <v>42</v>
      </c>
      <c r="D251" t="s">
        <v>43</v>
      </c>
      <c r="E251" t="s">
        <v>84</v>
      </c>
      <c r="F251" t="s">
        <v>73</v>
      </c>
      <c r="G251">
        <v>2489.91</v>
      </c>
      <c r="H251">
        <v>1957.64</v>
      </c>
      <c r="I251">
        <v>532.27</v>
      </c>
      <c r="J251">
        <v>9</v>
      </c>
      <c r="K251">
        <v>3</v>
      </c>
      <c r="L251" t="s">
        <v>22</v>
      </c>
      <c r="M251" t="s">
        <v>179</v>
      </c>
      <c r="N251">
        <v>4</v>
      </c>
      <c r="O251" t="s">
        <v>56</v>
      </c>
    </row>
    <row r="252" spans="1:15" x14ac:dyDescent="0.3">
      <c r="A252" t="s">
        <v>560</v>
      </c>
      <c r="B252" s="3">
        <v>45385</v>
      </c>
      <c r="C252" t="s">
        <v>42</v>
      </c>
      <c r="D252" t="s">
        <v>162</v>
      </c>
      <c r="E252" t="s">
        <v>27</v>
      </c>
      <c r="F252" t="s">
        <v>44</v>
      </c>
      <c r="G252">
        <v>3410.24</v>
      </c>
      <c r="H252">
        <v>3016.88</v>
      </c>
      <c r="I252">
        <v>393.36</v>
      </c>
      <c r="J252">
        <v>12</v>
      </c>
      <c r="K252">
        <v>1</v>
      </c>
      <c r="L252" t="s">
        <v>29</v>
      </c>
      <c r="M252" t="s">
        <v>16</v>
      </c>
      <c r="N252">
        <v>2</v>
      </c>
      <c r="O252" t="s">
        <v>56</v>
      </c>
    </row>
    <row r="253" spans="1:15" x14ac:dyDescent="0.3">
      <c r="A253" t="s">
        <v>561</v>
      </c>
      <c r="B253" s="3">
        <v>45401</v>
      </c>
      <c r="C253" t="s">
        <v>33</v>
      </c>
      <c r="D253" t="s">
        <v>205</v>
      </c>
      <c r="E253" t="s">
        <v>35</v>
      </c>
      <c r="F253" t="s">
        <v>36</v>
      </c>
      <c r="G253">
        <v>2710.16</v>
      </c>
      <c r="H253">
        <v>1892.43</v>
      </c>
      <c r="I253">
        <v>817.73</v>
      </c>
      <c r="J253">
        <v>9</v>
      </c>
      <c r="K253">
        <v>3</v>
      </c>
      <c r="L253" t="s">
        <v>22</v>
      </c>
      <c r="M253" t="s">
        <v>16</v>
      </c>
      <c r="N253">
        <v>2</v>
      </c>
      <c r="O253" t="s">
        <v>56</v>
      </c>
    </row>
    <row r="254" spans="1:15" x14ac:dyDescent="0.3">
      <c r="A254" t="s">
        <v>563</v>
      </c>
      <c r="B254" s="3">
        <v>45517</v>
      </c>
      <c r="C254" t="s">
        <v>7</v>
      </c>
      <c r="D254" t="s">
        <v>131</v>
      </c>
      <c r="E254" t="s">
        <v>84</v>
      </c>
      <c r="F254" t="s">
        <v>44</v>
      </c>
      <c r="G254">
        <v>3004.98</v>
      </c>
      <c r="H254">
        <v>2083.46</v>
      </c>
      <c r="I254">
        <v>921.52</v>
      </c>
      <c r="K254">
        <v>5</v>
      </c>
      <c r="L254" t="s">
        <v>22</v>
      </c>
      <c r="M254" t="s">
        <v>32</v>
      </c>
      <c r="N254">
        <v>3</v>
      </c>
      <c r="O254" t="s">
        <v>21</v>
      </c>
    </row>
    <row r="255" spans="1:15" x14ac:dyDescent="0.3">
      <c r="A255" t="s">
        <v>565</v>
      </c>
      <c r="B255" s="3">
        <v>45447</v>
      </c>
      <c r="C255" t="s">
        <v>17</v>
      </c>
      <c r="D255" t="s">
        <v>226</v>
      </c>
      <c r="E255" t="s">
        <v>27</v>
      </c>
      <c r="F255" t="s">
        <v>28</v>
      </c>
      <c r="G255">
        <v>2567.1999999999998</v>
      </c>
      <c r="H255">
        <v>1613.29</v>
      </c>
      <c r="I255">
        <v>953.91</v>
      </c>
      <c r="J255">
        <v>3</v>
      </c>
      <c r="K255">
        <v>3</v>
      </c>
      <c r="L255" t="s">
        <v>22</v>
      </c>
      <c r="M255" t="s">
        <v>64</v>
      </c>
      <c r="N255">
        <v>2</v>
      </c>
      <c r="O255" t="s">
        <v>56</v>
      </c>
    </row>
    <row r="256" spans="1:15" x14ac:dyDescent="0.3">
      <c r="A256" t="s">
        <v>566</v>
      </c>
      <c r="B256" s="3">
        <v>45561</v>
      </c>
      <c r="C256" t="s">
        <v>33</v>
      </c>
      <c r="D256" t="s">
        <v>105</v>
      </c>
      <c r="E256" t="s">
        <v>27</v>
      </c>
      <c r="F256" t="s">
        <v>28</v>
      </c>
      <c r="G256">
        <v>2984.33</v>
      </c>
      <c r="H256">
        <v>2173</v>
      </c>
      <c r="I256">
        <v>811.33</v>
      </c>
      <c r="K256">
        <v>3</v>
      </c>
      <c r="L256" t="s">
        <v>29</v>
      </c>
      <c r="M256" t="s">
        <v>115</v>
      </c>
      <c r="N256">
        <v>3</v>
      </c>
      <c r="O256" t="s">
        <v>21</v>
      </c>
    </row>
    <row r="257" spans="1:15" x14ac:dyDescent="0.3">
      <c r="A257" t="s">
        <v>567</v>
      </c>
      <c r="B257" s="3">
        <v>45488</v>
      </c>
      <c r="C257" t="s">
        <v>17</v>
      </c>
      <c r="D257" t="s">
        <v>18</v>
      </c>
      <c r="E257" t="s">
        <v>27</v>
      </c>
      <c r="F257" t="s">
        <v>36</v>
      </c>
      <c r="G257">
        <v>3804.25</v>
      </c>
      <c r="H257">
        <v>2336.02</v>
      </c>
      <c r="I257">
        <v>1468.23</v>
      </c>
      <c r="K257">
        <v>5</v>
      </c>
      <c r="L257" t="s">
        <v>22</v>
      </c>
      <c r="M257" t="s">
        <v>54</v>
      </c>
      <c r="N257">
        <v>3</v>
      </c>
      <c r="O257" t="s">
        <v>21</v>
      </c>
    </row>
    <row r="258" spans="1:15" x14ac:dyDescent="0.3">
      <c r="A258" t="s">
        <v>568</v>
      </c>
      <c r="B258" s="3">
        <v>45575</v>
      </c>
      <c r="C258" t="s">
        <v>59</v>
      </c>
      <c r="D258" t="s">
        <v>194</v>
      </c>
      <c r="E258" t="s">
        <v>27</v>
      </c>
      <c r="F258" t="s">
        <v>36</v>
      </c>
      <c r="G258">
        <v>3250.24</v>
      </c>
      <c r="H258">
        <v>2019.15</v>
      </c>
      <c r="I258">
        <v>1231.0899999999999</v>
      </c>
      <c r="K258">
        <v>4</v>
      </c>
      <c r="L258" t="s">
        <v>22</v>
      </c>
      <c r="M258" t="s">
        <v>68</v>
      </c>
      <c r="N258">
        <v>4</v>
      </c>
      <c r="O258" t="s">
        <v>21</v>
      </c>
    </row>
    <row r="259" spans="1:15" x14ac:dyDescent="0.3">
      <c r="A259" t="s">
        <v>570</v>
      </c>
      <c r="B259" s="3">
        <v>45632</v>
      </c>
      <c r="C259" t="s">
        <v>17</v>
      </c>
      <c r="D259" t="s">
        <v>51</v>
      </c>
      <c r="E259" t="s">
        <v>27</v>
      </c>
      <c r="F259" t="s">
        <v>20</v>
      </c>
      <c r="G259">
        <v>504.54</v>
      </c>
      <c r="H259">
        <v>292.88</v>
      </c>
      <c r="I259">
        <v>211.66</v>
      </c>
      <c r="K259">
        <v>3</v>
      </c>
      <c r="L259" t="s">
        <v>29</v>
      </c>
      <c r="M259" t="s">
        <v>179</v>
      </c>
      <c r="N259">
        <v>4</v>
      </c>
      <c r="O259" t="s">
        <v>21</v>
      </c>
    </row>
    <row r="260" spans="1:15" x14ac:dyDescent="0.3">
      <c r="A260" t="s">
        <v>572</v>
      </c>
      <c r="B260" s="3">
        <v>45293</v>
      </c>
      <c r="C260" t="s">
        <v>59</v>
      </c>
      <c r="D260" t="s">
        <v>194</v>
      </c>
      <c r="E260" t="s">
        <v>40</v>
      </c>
      <c r="F260" t="s">
        <v>36</v>
      </c>
      <c r="G260">
        <v>1601.53</v>
      </c>
      <c r="H260">
        <v>944.34</v>
      </c>
      <c r="I260">
        <v>657.19</v>
      </c>
      <c r="K260">
        <v>3</v>
      </c>
      <c r="L260" t="s">
        <v>29</v>
      </c>
      <c r="M260" t="s">
        <v>25</v>
      </c>
      <c r="N260">
        <v>1</v>
      </c>
      <c r="O260" t="s">
        <v>21</v>
      </c>
    </row>
    <row r="261" spans="1:15" x14ac:dyDescent="0.3">
      <c r="A261" t="s">
        <v>573</v>
      </c>
      <c r="B261" s="3">
        <v>45555</v>
      </c>
      <c r="C261" t="s">
        <v>33</v>
      </c>
      <c r="D261" t="s">
        <v>105</v>
      </c>
      <c r="E261" t="s">
        <v>19</v>
      </c>
      <c r="F261" t="s">
        <v>36</v>
      </c>
      <c r="G261">
        <v>923.96</v>
      </c>
      <c r="H261">
        <v>560.28</v>
      </c>
      <c r="I261">
        <v>363.68</v>
      </c>
      <c r="K261">
        <v>4</v>
      </c>
      <c r="L261" t="s">
        <v>22</v>
      </c>
      <c r="M261" t="s">
        <v>115</v>
      </c>
      <c r="N261">
        <v>3</v>
      </c>
      <c r="O261" t="s">
        <v>21</v>
      </c>
    </row>
    <row r="262" spans="1:15" x14ac:dyDescent="0.3">
      <c r="A262" t="s">
        <v>575</v>
      </c>
      <c r="B262" s="3">
        <v>45352</v>
      </c>
      <c r="C262" t="s">
        <v>42</v>
      </c>
      <c r="D262" t="s">
        <v>214</v>
      </c>
      <c r="E262" t="s">
        <v>35</v>
      </c>
      <c r="F262" t="s">
        <v>20</v>
      </c>
      <c r="G262">
        <v>1121.72</v>
      </c>
      <c r="H262">
        <v>904.43</v>
      </c>
      <c r="I262">
        <v>217.29</v>
      </c>
      <c r="J262">
        <v>13</v>
      </c>
      <c r="K262">
        <v>5</v>
      </c>
      <c r="L262" t="s">
        <v>22</v>
      </c>
      <c r="M262" t="s">
        <v>76</v>
      </c>
      <c r="N262">
        <v>1</v>
      </c>
      <c r="O262" t="s">
        <v>56</v>
      </c>
    </row>
    <row r="263" spans="1:15" x14ac:dyDescent="0.3">
      <c r="A263" t="s">
        <v>577</v>
      </c>
      <c r="B263" s="3">
        <v>45560</v>
      </c>
      <c r="C263" t="s">
        <v>33</v>
      </c>
      <c r="D263" t="s">
        <v>34</v>
      </c>
      <c r="E263" t="s">
        <v>27</v>
      </c>
      <c r="F263" t="s">
        <v>20</v>
      </c>
      <c r="G263">
        <v>263.31</v>
      </c>
      <c r="H263">
        <v>200.56</v>
      </c>
      <c r="I263">
        <v>62.75</v>
      </c>
      <c r="K263">
        <v>5</v>
      </c>
      <c r="L263" t="s">
        <v>29</v>
      </c>
      <c r="M263" t="s">
        <v>115</v>
      </c>
      <c r="N263">
        <v>3</v>
      </c>
      <c r="O263" t="s">
        <v>21</v>
      </c>
    </row>
    <row r="264" spans="1:15" x14ac:dyDescent="0.3">
      <c r="A264" t="s">
        <v>578</v>
      </c>
      <c r="B264" s="3">
        <v>45414</v>
      </c>
      <c r="C264" t="s">
        <v>17</v>
      </c>
      <c r="D264" t="s">
        <v>469</v>
      </c>
      <c r="E264" t="s">
        <v>84</v>
      </c>
      <c r="F264" t="s">
        <v>28</v>
      </c>
      <c r="G264">
        <v>736.96</v>
      </c>
      <c r="H264">
        <v>577.99</v>
      </c>
      <c r="I264">
        <v>158.97</v>
      </c>
      <c r="K264">
        <v>5</v>
      </c>
      <c r="L264" t="s">
        <v>22</v>
      </c>
      <c r="M264" t="s">
        <v>104</v>
      </c>
      <c r="N264">
        <v>2</v>
      </c>
      <c r="O264" t="s">
        <v>21</v>
      </c>
    </row>
    <row r="265" spans="1:15" x14ac:dyDescent="0.3">
      <c r="A265" t="s">
        <v>580</v>
      </c>
      <c r="B265" s="3">
        <v>45336</v>
      </c>
      <c r="C265" t="s">
        <v>7</v>
      </c>
      <c r="D265" t="s">
        <v>182</v>
      </c>
      <c r="E265" t="s">
        <v>27</v>
      </c>
      <c r="F265" t="s">
        <v>20</v>
      </c>
      <c r="G265">
        <v>3019.08</v>
      </c>
      <c r="H265">
        <v>1758.54</v>
      </c>
      <c r="I265">
        <v>1260.54</v>
      </c>
      <c r="K265">
        <v>4</v>
      </c>
      <c r="L265" t="s">
        <v>22</v>
      </c>
      <c r="M265" t="s">
        <v>124</v>
      </c>
      <c r="N265">
        <v>1</v>
      </c>
      <c r="O265" t="s">
        <v>21</v>
      </c>
    </row>
    <row r="266" spans="1:15" x14ac:dyDescent="0.3">
      <c r="A266" t="s">
        <v>582</v>
      </c>
      <c r="B266" s="3">
        <v>45416</v>
      </c>
      <c r="C266" t="s">
        <v>7</v>
      </c>
      <c r="D266" t="s">
        <v>128</v>
      </c>
      <c r="E266" t="s">
        <v>40</v>
      </c>
      <c r="F266" t="s">
        <v>28</v>
      </c>
      <c r="G266">
        <v>1609.52</v>
      </c>
      <c r="H266">
        <v>1046.3699999999999</v>
      </c>
      <c r="I266">
        <v>563.15</v>
      </c>
      <c r="K266">
        <v>4</v>
      </c>
      <c r="L266" t="s">
        <v>22</v>
      </c>
      <c r="M266" t="s">
        <v>104</v>
      </c>
      <c r="N266">
        <v>2</v>
      </c>
      <c r="O266" t="s">
        <v>21</v>
      </c>
    </row>
    <row r="267" spans="1:15" x14ac:dyDescent="0.3">
      <c r="A267" t="s">
        <v>584</v>
      </c>
      <c r="B267" s="3">
        <v>45418</v>
      </c>
      <c r="C267" t="s">
        <v>42</v>
      </c>
      <c r="D267" t="s">
        <v>262</v>
      </c>
      <c r="E267" t="s">
        <v>19</v>
      </c>
      <c r="F267" t="s">
        <v>28</v>
      </c>
      <c r="G267">
        <v>2700.94</v>
      </c>
      <c r="H267">
        <v>2292.48</v>
      </c>
      <c r="I267">
        <v>408.46</v>
      </c>
      <c r="J267">
        <v>12</v>
      </c>
      <c r="K267">
        <v>2</v>
      </c>
      <c r="L267" t="s">
        <v>22</v>
      </c>
      <c r="M267" t="s">
        <v>104</v>
      </c>
      <c r="N267">
        <v>2</v>
      </c>
      <c r="O267" t="s">
        <v>56</v>
      </c>
    </row>
    <row r="268" spans="1:15" x14ac:dyDescent="0.3">
      <c r="A268" t="s">
        <v>586</v>
      </c>
      <c r="B268" s="3">
        <v>45484</v>
      </c>
      <c r="C268" t="s">
        <v>7</v>
      </c>
      <c r="D268" t="s">
        <v>55</v>
      </c>
      <c r="E268" t="s">
        <v>27</v>
      </c>
      <c r="F268" t="s">
        <v>44</v>
      </c>
      <c r="G268">
        <v>1556.44</v>
      </c>
      <c r="H268">
        <v>988.69</v>
      </c>
      <c r="I268">
        <v>567.75</v>
      </c>
      <c r="K268">
        <v>5</v>
      </c>
      <c r="L268" t="s">
        <v>22</v>
      </c>
      <c r="M268" t="s">
        <v>54</v>
      </c>
      <c r="N268">
        <v>3</v>
      </c>
      <c r="O268" t="s">
        <v>21</v>
      </c>
    </row>
    <row r="269" spans="1:15" x14ac:dyDescent="0.3">
      <c r="A269" t="s">
        <v>588</v>
      </c>
      <c r="B269" s="3">
        <v>45592</v>
      </c>
      <c r="C269" t="s">
        <v>17</v>
      </c>
      <c r="D269" t="s">
        <v>100</v>
      </c>
      <c r="E269" t="s">
        <v>87</v>
      </c>
      <c r="F269" t="s">
        <v>44</v>
      </c>
      <c r="G269">
        <v>1193.81</v>
      </c>
      <c r="H269">
        <v>893.6</v>
      </c>
      <c r="I269">
        <v>300.20999999999998</v>
      </c>
      <c r="K269">
        <v>4</v>
      </c>
      <c r="L269" t="s">
        <v>22</v>
      </c>
      <c r="M269" t="s">
        <v>68</v>
      </c>
      <c r="N269">
        <v>4</v>
      </c>
      <c r="O269" t="s">
        <v>21</v>
      </c>
    </row>
    <row r="270" spans="1:15" x14ac:dyDescent="0.3">
      <c r="A270" t="s">
        <v>590</v>
      </c>
      <c r="B270" s="3">
        <v>45621</v>
      </c>
      <c r="C270" t="s">
        <v>17</v>
      </c>
      <c r="D270" t="s">
        <v>96</v>
      </c>
      <c r="E270" t="s">
        <v>40</v>
      </c>
      <c r="F270" t="s">
        <v>73</v>
      </c>
      <c r="G270">
        <v>2388.6999999999998</v>
      </c>
      <c r="H270">
        <v>1714.87</v>
      </c>
      <c r="I270">
        <v>673.83</v>
      </c>
      <c r="K270">
        <v>4</v>
      </c>
      <c r="L270" t="s">
        <v>29</v>
      </c>
      <c r="M270" t="s">
        <v>111</v>
      </c>
      <c r="N270">
        <v>4</v>
      </c>
      <c r="O270" t="s">
        <v>21</v>
      </c>
    </row>
    <row r="271" spans="1:15" x14ac:dyDescent="0.3">
      <c r="A271" t="s">
        <v>593</v>
      </c>
      <c r="B271" s="3">
        <v>45656</v>
      </c>
      <c r="C271" t="s">
        <v>7</v>
      </c>
      <c r="D271" t="s">
        <v>65</v>
      </c>
      <c r="E271" t="s">
        <v>84</v>
      </c>
      <c r="F271" t="s">
        <v>28</v>
      </c>
      <c r="G271">
        <v>427.36</v>
      </c>
      <c r="H271">
        <v>294.72000000000003</v>
      </c>
      <c r="I271">
        <v>132.63999999999999</v>
      </c>
      <c r="K271">
        <v>3</v>
      </c>
      <c r="L271" t="s">
        <v>29</v>
      </c>
      <c r="M271" t="s">
        <v>179</v>
      </c>
      <c r="N271">
        <v>4</v>
      </c>
      <c r="O271" t="s">
        <v>21</v>
      </c>
    </row>
    <row r="272" spans="1:15" x14ac:dyDescent="0.3">
      <c r="A272" t="s">
        <v>595</v>
      </c>
      <c r="B272" s="3">
        <v>45304</v>
      </c>
      <c r="C272" t="s">
        <v>33</v>
      </c>
      <c r="D272" t="s">
        <v>119</v>
      </c>
      <c r="E272" t="s">
        <v>1716</v>
      </c>
      <c r="F272" t="s">
        <v>36</v>
      </c>
      <c r="G272">
        <v>2257.54</v>
      </c>
      <c r="H272">
        <v>1619.03</v>
      </c>
      <c r="I272">
        <v>638.51</v>
      </c>
      <c r="J272">
        <v>1</v>
      </c>
      <c r="K272">
        <v>2</v>
      </c>
      <c r="L272" t="s">
        <v>22</v>
      </c>
      <c r="M272" t="s">
        <v>25</v>
      </c>
      <c r="N272">
        <v>1</v>
      </c>
      <c r="O272" t="s">
        <v>56</v>
      </c>
    </row>
    <row r="273" spans="1:15" x14ac:dyDescent="0.3">
      <c r="A273" t="s">
        <v>597</v>
      </c>
      <c r="B273" s="3">
        <v>45295</v>
      </c>
      <c r="C273" t="s">
        <v>33</v>
      </c>
      <c r="D273" t="s">
        <v>171</v>
      </c>
      <c r="E273" t="s">
        <v>35</v>
      </c>
      <c r="F273" t="s">
        <v>73</v>
      </c>
      <c r="G273">
        <v>531.35</v>
      </c>
      <c r="H273">
        <v>336.51</v>
      </c>
      <c r="I273">
        <v>194.84</v>
      </c>
      <c r="K273">
        <v>2</v>
      </c>
      <c r="L273" t="s">
        <v>29</v>
      </c>
      <c r="M273" t="s">
        <v>25</v>
      </c>
      <c r="N273">
        <v>1</v>
      </c>
      <c r="O273" t="s">
        <v>21</v>
      </c>
    </row>
    <row r="274" spans="1:15" x14ac:dyDescent="0.3">
      <c r="A274" t="s">
        <v>598</v>
      </c>
      <c r="B274" s="3">
        <v>45442</v>
      </c>
      <c r="C274" t="s">
        <v>33</v>
      </c>
      <c r="D274" t="s">
        <v>39</v>
      </c>
      <c r="E274" t="s">
        <v>84</v>
      </c>
      <c r="F274" t="s">
        <v>73</v>
      </c>
      <c r="G274">
        <v>624.47</v>
      </c>
      <c r="H274">
        <v>411.51</v>
      </c>
      <c r="I274">
        <v>212.96</v>
      </c>
      <c r="K274">
        <v>4</v>
      </c>
      <c r="L274" t="s">
        <v>29</v>
      </c>
      <c r="M274" t="s">
        <v>104</v>
      </c>
      <c r="N274">
        <v>2</v>
      </c>
      <c r="O274" t="s">
        <v>21</v>
      </c>
    </row>
    <row r="275" spans="1:15" x14ac:dyDescent="0.3">
      <c r="A275" t="s">
        <v>600</v>
      </c>
      <c r="B275" s="3">
        <v>45515</v>
      </c>
      <c r="C275" t="s">
        <v>17</v>
      </c>
      <c r="D275" t="s">
        <v>469</v>
      </c>
      <c r="E275" t="s">
        <v>40</v>
      </c>
      <c r="F275" t="s">
        <v>44</v>
      </c>
      <c r="G275">
        <v>1563.76</v>
      </c>
      <c r="H275">
        <v>1214.1300000000001</v>
      </c>
      <c r="I275">
        <v>349.63</v>
      </c>
      <c r="J275">
        <v>5</v>
      </c>
      <c r="K275">
        <v>4</v>
      </c>
      <c r="L275" t="s">
        <v>22</v>
      </c>
      <c r="M275" t="s">
        <v>32</v>
      </c>
      <c r="N275">
        <v>3</v>
      </c>
      <c r="O275" t="s">
        <v>56</v>
      </c>
    </row>
    <row r="276" spans="1:15" x14ac:dyDescent="0.3">
      <c r="A276" t="s">
        <v>603</v>
      </c>
      <c r="B276" s="3">
        <v>45547</v>
      </c>
      <c r="C276" t="s">
        <v>17</v>
      </c>
      <c r="D276" t="s">
        <v>226</v>
      </c>
      <c r="E276" t="s">
        <v>87</v>
      </c>
      <c r="F276" t="s">
        <v>36</v>
      </c>
      <c r="G276">
        <v>938.34</v>
      </c>
      <c r="H276">
        <v>664.03</v>
      </c>
      <c r="I276">
        <v>274.31</v>
      </c>
      <c r="K276">
        <v>4</v>
      </c>
      <c r="L276" t="s">
        <v>22</v>
      </c>
      <c r="M276" t="s">
        <v>115</v>
      </c>
      <c r="N276">
        <v>3</v>
      </c>
      <c r="O276" t="s">
        <v>21</v>
      </c>
    </row>
    <row r="277" spans="1:15" x14ac:dyDescent="0.3">
      <c r="A277" t="s">
        <v>604</v>
      </c>
      <c r="B277" s="3">
        <v>45370</v>
      </c>
      <c r="C277" t="s">
        <v>7</v>
      </c>
      <c r="D277" t="s">
        <v>182</v>
      </c>
      <c r="E277" t="s">
        <v>87</v>
      </c>
      <c r="F277" t="s">
        <v>73</v>
      </c>
      <c r="G277">
        <v>2499.4499999999998</v>
      </c>
      <c r="H277">
        <v>1869.26</v>
      </c>
      <c r="I277">
        <v>630.19000000000005</v>
      </c>
      <c r="K277">
        <v>4</v>
      </c>
      <c r="L277" t="s">
        <v>22</v>
      </c>
      <c r="M277" t="s">
        <v>76</v>
      </c>
      <c r="N277">
        <v>1</v>
      </c>
      <c r="O277" t="s">
        <v>21</v>
      </c>
    </row>
    <row r="278" spans="1:15" x14ac:dyDescent="0.3">
      <c r="A278" t="s">
        <v>606</v>
      </c>
      <c r="B278" s="3">
        <v>45593</v>
      </c>
      <c r="C278" t="s">
        <v>7</v>
      </c>
      <c r="D278" t="s">
        <v>55</v>
      </c>
      <c r="E278" t="s">
        <v>1716</v>
      </c>
      <c r="F278" t="s">
        <v>36</v>
      </c>
      <c r="G278">
        <v>255.28</v>
      </c>
      <c r="H278">
        <v>143.12</v>
      </c>
      <c r="I278">
        <v>112.16</v>
      </c>
      <c r="K278">
        <v>3</v>
      </c>
      <c r="L278" t="s">
        <v>22</v>
      </c>
      <c r="M278" t="s">
        <v>68</v>
      </c>
      <c r="N278">
        <v>4</v>
      </c>
      <c r="O278" t="s">
        <v>21</v>
      </c>
    </row>
    <row r="279" spans="1:15" x14ac:dyDescent="0.3">
      <c r="A279" t="s">
        <v>608</v>
      </c>
      <c r="B279" s="3">
        <v>45553</v>
      </c>
      <c r="C279" t="s">
        <v>17</v>
      </c>
      <c r="D279" t="s">
        <v>18</v>
      </c>
      <c r="E279" t="s">
        <v>19</v>
      </c>
      <c r="F279" t="s">
        <v>44</v>
      </c>
      <c r="G279">
        <v>775.98</v>
      </c>
      <c r="H279">
        <v>481.33</v>
      </c>
      <c r="I279">
        <v>294.64999999999998</v>
      </c>
      <c r="K279">
        <v>4</v>
      </c>
      <c r="L279" t="s">
        <v>22</v>
      </c>
      <c r="M279" t="s">
        <v>115</v>
      </c>
      <c r="N279">
        <v>3</v>
      </c>
      <c r="O279" t="s">
        <v>21</v>
      </c>
    </row>
    <row r="280" spans="1:15" x14ac:dyDescent="0.3">
      <c r="A280" t="s">
        <v>610</v>
      </c>
      <c r="B280" s="3">
        <v>45376</v>
      </c>
      <c r="C280" t="s">
        <v>59</v>
      </c>
      <c r="D280" t="s">
        <v>108</v>
      </c>
      <c r="E280" t="s">
        <v>87</v>
      </c>
      <c r="F280" t="s">
        <v>73</v>
      </c>
      <c r="G280">
        <v>547.15</v>
      </c>
      <c r="H280">
        <v>338.39</v>
      </c>
      <c r="I280">
        <v>208.76</v>
      </c>
      <c r="K280">
        <v>5</v>
      </c>
      <c r="L280" t="s">
        <v>22</v>
      </c>
      <c r="M280" t="s">
        <v>76</v>
      </c>
      <c r="N280">
        <v>1</v>
      </c>
      <c r="O280" t="s">
        <v>21</v>
      </c>
    </row>
    <row r="281" spans="1:15" x14ac:dyDescent="0.3">
      <c r="A281" t="s">
        <v>612</v>
      </c>
      <c r="B281" s="3">
        <v>45414</v>
      </c>
      <c r="C281" t="s">
        <v>7</v>
      </c>
      <c r="D281" t="s">
        <v>131</v>
      </c>
      <c r="E281" t="s">
        <v>27</v>
      </c>
      <c r="F281" t="s">
        <v>44</v>
      </c>
      <c r="G281">
        <v>2527.77</v>
      </c>
      <c r="H281">
        <v>1586.65</v>
      </c>
      <c r="I281">
        <v>941.12</v>
      </c>
      <c r="K281">
        <v>5</v>
      </c>
      <c r="L281" t="s">
        <v>22</v>
      </c>
      <c r="M281" t="s">
        <v>104</v>
      </c>
      <c r="N281">
        <v>2</v>
      </c>
      <c r="O281" t="s">
        <v>21</v>
      </c>
    </row>
    <row r="282" spans="1:15" x14ac:dyDescent="0.3">
      <c r="A282" t="s">
        <v>613</v>
      </c>
      <c r="B282" s="3">
        <v>45440</v>
      </c>
      <c r="C282" t="s">
        <v>7</v>
      </c>
      <c r="D282" t="s">
        <v>131</v>
      </c>
      <c r="E282" t="s">
        <v>84</v>
      </c>
      <c r="F282" t="s">
        <v>44</v>
      </c>
      <c r="G282">
        <v>2044.24</v>
      </c>
      <c r="H282">
        <v>1477.27</v>
      </c>
      <c r="I282">
        <v>566.97</v>
      </c>
      <c r="J282">
        <v>1</v>
      </c>
      <c r="K282">
        <v>3</v>
      </c>
      <c r="L282" t="s">
        <v>22</v>
      </c>
      <c r="M282" t="s">
        <v>104</v>
      </c>
      <c r="N282">
        <v>2</v>
      </c>
      <c r="O282" t="s">
        <v>56</v>
      </c>
    </row>
    <row r="283" spans="1:15" x14ac:dyDescent="0.3">
      <c r="A283" t="s">
        <v>615</v>
      </c>
      <c r="B283" s="3">
        <v>45496</v>
      </c>
      <c r="C283" t="s">
        <v>42</v>
      </c>
      <c r="D283" t="s">
        <v>43</v>
      </c>
      <c r="E283" t="s">
        <v>35</v>
      </c>
      <c r="F283" t="s">
        <v>44</v>
      </c>
      <c r="G283">
        <v>1047.1300000000001</v>
      </c>
      <c r="H283">
        <v>768.67</v>
      </c>
      <c r="I283">
        <v>278.45999999999998</v>
      </c>
      <c r="J283">
        <v>11</v>
      </c>
      <c r="K283">
        <v>2</v>
      </c>
      <c r="L283" t="s">
        <v>29</v>
      </c>
      <c r="M283" t="s">
        <v>54</v>
      </c>
      <c r="N283">
        <v>3</v>
      </c>
      <c r="O283" t="s">
        <v>56</v>
      </c>
    </row>
    <row r="284" spans="1:15" x14ac:dyDescent="0.3">
      <c r="A284" t="s">
        <v>617</v>
      </c>
      <c r="B284" s="3">
        <v>45618</v>
      </c>
      <c r="C284" t="s">
        <v>17</v>
      </c>
      <c r="D284" t="s">
        <v>226</v>
      </c>
      <c r="E284" t="s">
        <v>19</v>
      </c>
      <c r="F284" t="s">
        <v>44</v>
      </c>
      <c r="G284">
        <v>710.4</v>
      </c>
      <c r="H284">
        <v>493.33</v>
      </c>
      <c r="I284">
        <v>217.07</v>
      </c>
      <c r="J284">
        <v>2</v>
      </c>
      <c r="K284">
        <v>1</v>
      </c>
      <c r="L284" t="s">
        <v>22</v>
      </c>
      <c r="M284" t="s">
        <v>111</v>
      </c>
      <c r="N284">
        <v>4</v>
      </c>
      <c r="O284" t="s">
        <v>56</v>
      </c>
    </row>
    <row r="285" spans="1:15" x14ac:dyDescent="0.3">
      <c r="A285" t="s">
        <v>619</v>
      </c>
      <c r="B285" s="3">
        <v>45418</v>
      </c>
      <c r="C285" t="s">
        <v>59</v>
      </c>
      <c r="D285" t="s">
        <v>308</v>
      </c>
      <c r="E285" t="s">
        <v>35</v>
      </c>
      <c r="F285" t="s">
        <v>44</v>
      </c>
      <c r="G285">
        <v>1084.67</v>
      </c>
      <c r="H285">
        <v>677.51</v>
      </c>
      <c r="I285">
        <v>407.16</v>
      </c>
      <c r="K285">
        <v>5</v>
      </c>
      <c r="L285" t="s">
        <v>22</v>
      </c>
      <c r="M285" t="s">
        <v>104</v>
      </c>
      <c r="N285">
        <v>2</v>
      </c>
      <c r="O285" t="s">
        <v>21</v>
      </c>
    </row>
    <row r="286" spans="1:15" x14ac:dyDescent="0.3">
      <c r="A286" t="s">
        <v>620</v>
      </c>
      <c r="B286" s="3">
        <v>45521</v>
      </c>
      <c r="C286" t="s">
        <v>42</v>
      </c>
      <c r="D286" t="s">
        <v>43</v>
      </c>
      <c r="E286" t="s">
        <v>87</v>
      </c>
      <c r="F286" t="s">
        <v>36</v>
      </c>
      <c r="G286">
        <v>2881.44</v>
      </c>
      <c r="H286">
        <v>2082.4899999999998</v>
      </c>
      <c r="I286">
        <v>798.95</v>
      </c>
      <c r="J286">
        <v>11</v>
      </c>
      <c r="K286">
        <v>1</v>
      </c>
      <c r="L286" t="s">
        <v>29</v>
      </c>
      <c r="M286" t="s">
        <v>32</v>
      </c>
      <c r="N286">
        <v>3</v>
      </c>
      <c r="O286" t="s">
        <v>56</v>
      </c>
    </row>
    <row r="287" spans="1:15" x14ac:dyDescent="0.3">
      <c r="A287" t="s">
        <v>622</v>
      </c>
      <c r="B287" s="3">
        <v>45425</v>
      </c>
      <c r="C287" t="s">
        <v>7</v>
      </c>
      <c r="D287" t="s">
        <v>131</v>
      </c>
      <c r="E287" t="s">
        <v>87</v>
      </c>
      <c r="F287" t="s">
        <v>73</v>
      </c>
      <c r="G287">
        <v>1346.1</v>
      </c>
      <c r="H287">
        <v>793.73</v>
      </c>
      <c r="I287">
        <v>552.37</v>
      </c>
      <c r="K287">
        <v>3</v>
      </c>
      <c r="L287" t="s">
        <v>22</v>
      </c>
      <c r="M287" t="s">
        <v>104</v>
      </c>
      <c r="N287">
        <v>2</v>
      </c>
      <c r="O287" t="s">
        <v>21</v>
      </c>
    </row>
    <row r="288" spans="1:15" x14ac:dyDescent="0.3">
      <c r="A288" t="s">
        <v>624</v>
      </c>
      <c r="B288" s="3">
        <v>45345</v>
      </c>
      <c r="C288" t="s">
        <v>7</v>
      </c>
      <c r="D288" t="s">
        <v>65</v>
      </c>
      <c r="E288" t="s">
        <v>35</v>
      </c>
      <c r="F288" t="s">
        <v>36</v>
      </c>
      <c r="G288">
        <v>709.61</v>
      </c>
      <c r="H288">
        <v>411.23</v>
      </c>
      <c r="I288">
        <v>298.38</v>
      </c>
      <c r="K288">
        <v>4</v>
      </c>
      <c r="L288" t="s">
        <v>22</v>
      </c>
      <c r="M288" t="s">
        <v>124</v>
      </c>
      <c r="N288">
        <v>1</v>
      </c>
      <c r="O288" t="s">
        <v>21</v>
      </c>
    </row>
    <row r="289" spans="1:15" x14ac:dyDescent="0.3">
      <c r="A289" t="s">
        <v>626</v>
      </c>
      <c r="B289" s="3">
        <v>45611</v>
      </c>
      <c r="C289" t="s">
        <v>33</v>
      </c>
      <c r="D289" t="s">
        <v>105</v>
      </c>
      <c r="E289" t="s">
        <v>40</v>
      </c>
      <c r="F289" t="s">
        <v>28</v>
      </c>
      <c r="G289">
        <v>2638.67</v>
      </c>
      <c r="H289">
        <v>1511.93</v>
      </c>
      <c r="I289">
        <v>1126.74</v>
      </c>
      <c r="K289">
        <v>4</v>
      </c>
      <c r="L289" t="s">
        <v>22</v>
      </c>
      <c r="M289" t="s">
        <v>111</v>
      </c>
      <c r="N289">
        <v>4</v>
      </c>
      <c r="O289" t="s">
        <v>21</v>
      </c>
    </row>
    <row r="290" spans="1:15" x14ac:dyDescent="0.3">
      <c r="A290" t="s">
        <v>628</v>
      </c>
      <c r="B290" s="3">
        <v>45476</v>
      </c>
      <c r="C290" t="s">
        <v>33</v>
      </c>
      <c r="D290" t="s">
        <v>171</v>
      </c>
      <c r="E290" t="s">
        <v>87</v>
      </c>
      <c r="F290" t="s">
        <v>20</v>
      </c>
      <c r="G290">
        <v>1481.82</v>
      </c>
      <c r="H290">
        <v>1080.23</v>
      </c>
      <c r="I290">
        <v>401.59</v>
      </c>
      <c r="K290">
        <v>4</v>
      </c>
      <c r="L290" t="s">
        <v>22</v>
      </c>
      <c r="M290" t="s">
        <v>54</v>
      </c>
      <c r="N290">
        <v>3</v>
      </c>
      <c r="O290" t="s">
        <v>21</v>
      </c>
    </row>
    <row r="291" spans="1:15" x14ac:dyDescent="0.3">
      <c r="A291" t="s">
        <v>630</v>
      </c>
      <c r="B291" s="3">
        <v>45332</v>
      </c>
      <c r="C291" t="s">
        <v>7</v>
      </c>
      <c r="D291" t="s">
        <v>182</v>
      </c>
      <c r="E291" t="s">
        <v>40</v>
      </c>
      <c r="F291" t="s">
        <v>44</v>
      </c>
      <c r="G291">
        <v>1705.25</v>
      </c>
      <c r="H291">
        <v>1025.25</v>
      </c>
      <c r="I291">
        <v>680</v>
      </c>
      <c r="K291">
        <v>3</v>
      </c>
      <c r="L291" t="s">
        <v>22</v>
      </c>
      <c r="M291" t="s">
        <v>124</v>
      </c>
      <c r="N291">
        <v>1</v>
      </c>
      <c r="O291" t="s">
        <v>21</v>
      </c>
    </row>
    <row r="292" spans="1:15" x14ac:dyDescent="0.3">
      <c r="A292" t="s">
        <v>632</v>
      </c>
      <c r="B292" s="3">
        <v>45455</v>
      </c>
      <c r="C292" t="s">
        <v>59</v>
      </c>
      <c r="D292" t="s">
        <v>155</v>
      </c>
      <c r="E292" t="s">
        <v>19</v>
      </c>
      <c r="F292" t="s">
        <v>97</v>
      </c>
      <c r="G292">
        <v>3098.44</v>
      </c>
      <c r="H292">
        <v>2024.86</v>
      </c>
      <c r="I292">
        <v>1073.58</v>
      </c>
      <c r="K292">
        <v>5</v>
      </c>
      <c r="L292" t="s">
        <v>22</v>
      </c>
      <c r="M292" t="s">
        <v>64</v>
      </c>
      <c r="N292">
        <v>2</v>
      </c>
      <c r="O292" t="s">
        <v>21</v>
      </c>
    </row>
    <row r="293" spans="1:15" x14ac:dyDescent="0.3">
      <c r="A293" t="s">
        <v>634</v>
      </c>
      <c r="B293" s="3">
        <v>45364</v>
      </c>
      <c r="C293" t="s">
        <v>59</v>
      </c>
      <c r="D293" t="s">
        <v>1698</v>
      </c>
      <c r="E293" t="s">
        <v>27</v>
      </c>
      <c r="F293" t="s">
        <v>28</v>
      </c>
      <c r="G293">
        <v>270.16000000000003</v>
      </c>
      <c r="H293">
        <v>164.47</v>
      </c>
      <c r="I293">
        <v>105.69</v>
      </c>
      <c r="K293">
        <v>3</v>
      </c>
      <c r="L293" t="s">
        <v>22</v>
      </c>
      <c r="M293" t="s">
        <v>76</v>
      </c>
      <c r="N293">
        <v>1</v>
      </c>
      <c r="O293" t="s">
        <v>21</v>
      </c>
    </row>
    <row r="294" spans="1:15" x14ac:dyDescent="0.3">
      <c r="A294" t="s">
        <v>636</v>
      </c>
      <c r="B294" s="3">
        <v>45362</v>
      </c>
      <c r="C294" t="s">
        <v>33</v>
      </c>
      <c r="D294" t="s">
        <v>171</v>
      </c>
      <c r="E294" t="s">
        <v>40</v>
      </c>
      <c r="F294" t="s">
        <v>28</v>
      </c>
      <c r="G294">
        <v>2835.93</v>
      </c>
      <c r="H294">
        <v>1852.86</v>
      </c>
      <c r="I294">
        <v>983.07</v>
      </c>
      <c r="K294">
        <v>4</v>
      </c>
      <c r="L294" t="s">
        <v>22</v>
      </c>
      <c r="M294" t="s">
        <v>76</v>
      </c>
      <c r="N294">
        <v>1</v>
      </c>
      <c r="O294" t="s">
        <v>21</v>
      </c>
    </row>
    <row r="295" spans="1:15" x14ac:dyDescent="0.3">
      <c r="A295" t="s">
        <v>637</v>
      </c>
      <c r="B295" s="3">
        <v>45579</v>
      </c>
      <c r="C295" t="s">
        <v>33</v>
      </c>
      <c r="D295" t="s">
        <v>297</v>
      </c>
      <c r="E295" t="s">
        <v>19</v>
      </c>
      <c r="F295" t="s">
        <v>44</v>
      </c>
      <c r="G295">
        <v>2685.99</v>
      </c>
      <c r="H295">
        <v>2038.65</v>
      </c>
      <c r="I295">
        <v>647.34</v>
      </c>
      <c r="K295">
        <v>5</v>
      </c>
      <c r="L295" t="s">
        <v>22</v>
      </c>
      <c r="M295" t="s">
        <v>68</v>
      </c>
      <c r="N295">
        <v>4</v>
      </c>
      <c r="O295" t="s">
        <v>21</v>
      </c>
    </row>
    <row r="296" spans="1:15" x14ac:dyDescent="0.3">
      <c r="A296" t="s">
        <v>639</v>
      </c>
      <c r="B296" s="3">
        <v>45603</v>
      </c>
      <c r="C296" t="s">
        <v>42</v>
      </c>
      <c r="D296" t="s">
        <v>43</v>
      </c>
      <c r="E296" t="s">
        <v>87</v>
      </c>
      <c r="F296" t="s">
        <v>44</v>
      </c>
      <c r="G296">
        <v>3320.01</v>
      </c>
      <c r="H296">
        <v>2913.75</v>
      </c>
      <c r="I296">
        <v>406.26</v>
      </c>
      <c r="K296">
        <v>5</v>
      </c>
      <c r="L296" t="s">
        <v>22</v>
      </c>
      <c r="M296" t="s">
        <v>111</v>
      </c>
      <c r="N296">
        <v>4</v>
      </c>
      <c r="O296" t="s">
        <v>21</v>
      </c>
    </row>
    <row r="297" spans="1:15" x14ac:dyDescent="0.3">
      <c r="A297" t="s">
        <v>641</v>
      </c>
      <c r="B297" s="3">
        <v>45467</v>
      </c>
      <c r="C297" t="s">
        <v>33</v>
      </c>
      <c r="D297" t="s">
        <v>297</v>
      </c>
      <c r="E297" t="s">
        <v>40</v>
      </c>
      <c r="F297" t="s">
        <v>73</v>
      </c>
      <c r="G297">
        <v>593.34</v>
      </c>
      <c r="H297">
        <v>377.7</v>
      </c>
      <c r="I297">
        <v>215.64</v>
      </c>
      <c r="K297">
        <v>4</v>
      </c>
      <c r="L297" t="s">
        <v>22</v>
      </c>
      <c r="M297" t="s">
        <v>64</v>
      </c>
      <c r="N297">
        <v>2</v>
      </c>
      <c r="O297" t="s">
        <v>21</v>
      </c>
    </row>
    <row r="298" spans="1:15" x14ac:dyDescent="0.3">
      <c r="A298" t="s">
        <v>643</v>
      </c>
      <c r="B298" s="3">
        <v>45456</v>
      </c>
      <c r="C298" t="s">
        <v>42</v>
      </c>
      <c r="D298" t="s">
        <v>47</v>
      </c>
      <c r="E298" t="s">
        <v>87</v>
      </c>
      <c r="F298" t="s">
        <v>20</v>
      </c>
      <c r="G298">
        <v>205.71</v>
      </c>
      <c r="H298">
        <v>160.30000000000001</v>
      </c>
      <c r="I298">
        <v>45.41</v>
      </c>
      <c r="K298">
        <v>5</v>
      </c>
      <c r="L298" t="s">
        <v>29</v>
      </c>
      <c r="M298" t="s">
        <v>64</v>
      </c>
      <c r="N298">
        <v>2</v>
      </c>
      <c r="O298" t="s">
        <v>21</v>
      </c>
    </row>
    <row r="299" spans="1:15" x14ac:dyDescent="0.3">
      <c r="A299" t="s">
        <v>645</v>
      </c>
      <c r="B299" s="3">
        <v>45443</v>
      </c>
      <c r="C299" t="s">
        <v>59</v>
      </c>
      <c r="D299" t="s">
        <v>490</v>
      </c>
      <c r="E299" t="s">
        <v>19</v>
      </c>
      <c r="F299" t="s">
        <v>36</v>
      </c>
      <c r="G299">
        <v>1018.84</v>
      </c>
      <c r="H299">
        <v>672.33</v>
      </c>
      <c r="I299">
        <v>346.51</v>
      </c>
      <c r="K299">
        <v>4</v>
      </c>
      <c r="L299" t="s">
        <v>22</v>
      </c>
      <c r="M299" t="s">
        <v>104</v>
      </c>
      <c r="N299">
        <v>2</v>
      </c>
      <c r="O299" t="s">
        <v>21</v>
      </c>
    </row>
    <row r="300" spans="1:15" x14ac:dyDescent="0.3">
      <c r="A300" t="s">
        <v>646</v>
      </c>
      <c r="B300" s="3">
        <v>45505</v>
      </c>
      <c r="C300" t="s">
        <v>17</v>
      </c>
      <c r="D300" t="s">
        <v>18</v>
      </c>
      <c r="E300" t="s">
        <v>19</v>
      </c>
      <c r="F300" t="s">
        <v>73</v>
      </c>
      <c r="G300">
        <v>3218.11</v>
      </c>
      <c r="H300">
        <v>2027.36</v>
      </c>
      <c r="I300">
        <v>1190.75</v>
      </c>
      <c r="K300">
        <v>5</v>
      </c>
      <c r="L300" t="s">
        <v>29</v>
      </c>
      <c r="M300" t="s">
        <v>32</v>
      </c>
      <c r="N300">
        <v>3</v>
      </c>
      <c r="O300" t="s">
        <v>21</v>
      </c>
    </row>
    <row r="301" spans="1:15" x14ac:dyDescent="0.3">
      <c r="A301" t="s">
        <v>648</v>
      </c>
      <c r="B301" s="3">
        <v>45518</v>
      </c>
      <c r="C301" t="s">
        <v>59</v>
      </c>
      <c r="D301" t="s">
        <v>194</v>
      </c>
      <c r="E301" t="s">
        <v>40</v>
      </c>
      <c r="F301" t="s">
        <v>73</v>
      </c>
      <c r="G301">
        <v>1574.42</v>
      </c>
      <c r="H301">
        <v>968.54</v>
      </c>
      <c r="I301">
        <v>605.88</v>
      </c>
      <c r="K301">
        <v>4</v>
      </c>
      <c r="L301" t="s">
        <v>22</v>
      </c>
      <c r="M301" t="s">
        <v>32</v>
      </c>
      <c r="N301">
        <v>3</v>
      </c>
      <c r="O301" t="s">
        <v>21</v>
      </c>
    </row>
    <row r="302" spans="1:15" x14ac:dyDescent="0.3">
      <c r="A302" t="s">
        <v>649</v>
      </c>
      <c r="B302" s="3">
        <v>45401</v>
      </c>
      <c r="C302" t="s">
        <v>59</v>
      </c>
      <c r="D302" t="s">
        <v>194</v>
      </c>
      <c r="E302" t="s">
        <v>84</v>
      </c>
      <c r="F302" t="s">
        <v>176</v>
      </c>
      <c r="G302">
        <v>3252.81</v>
      </c>
      <c r="H302">
        <v>2438.23</v>
      </c>
      <c r="I302">
        <v>814.58</v>
      </c>
      <c r="K302">
        <v>5</v>
      </c>
      <c r="L302" t="s">
        <v>22</v>
      </c>
      <c r="M302" t="s">
        <v>16</v>
      </c>
      <c r="N302">
        <v>2</v>
      </c>
      <c r="O302" t="s">
        <v>21</v>
      </c>
    </row>
    <row r="303" spans="1:15" x14ac:dyDescent="0.3">
      <c r="A303" t="s">
        <v>650</v>
      </c>
      <c r="B303" s="3">
        <v>45640</v>
      </c>
      <c r="C303" t="s">
        <v>17</v>
      </c>
      <c r="D303" t="s">
        <v>226</v>
      </c>
      <c r="E303" t="s">
        <v>19</v>
      </c>
      <c r="F303" t="s">
        <v>44</v>
      </c>
      <c r="G303">
        <v>2473.77</v>
      </c>
      <c r="H303">
        <v>1384.56</v>
      </c>
      <c r="I303">
        <v>1089.21</v>
      </c>
      <c r="K303">
        <v>5</v>
      </c>
      <c r="L303" t="s">
        <v>22</v>
      </c>
      <c r="M303" t="s">
        <v>179</v>
      </c>
      <c r="N303">
        <v>4</v>
      </c>
      <c r="O303" t="s">
        <v>21</v>
      </c>
    </row>
    <row r="304" spans="1:15" x14ac:dyDescent="0.3">
      <c r="A304" t="s">
        <v>653</v>
      </c>
      <c r="B304" s="3">
        <v>45452</v>
      </c>
      <c r="C304" t="s">
        <v>59</v>
      </c>
      <c r="D304" t="s">
        <v>108</v>
      </c>
      <c r="E304" t="s">
        <v>40</v>
      </c>
      <c r="F304" t="s">
        <v>44</v>
      </c>
      <c r="G304">
        <v>820.26</v>
      </c>
      <c r="H304">
        <v>533.64</v>
      </c>
      <c r="I304">
        <v>286.62</v>
      </c>
      <c r="K304">
        <v>5</v>
      </c>
      <c r="L304" t="s">
        <v>22</v>
      </c>
      <c r="M304" t="s">
        <v>64</v>
      </c>
      <c r="N304">
        <v>2</v>
      </c>
      <c r="O304" t="s">
        <v>21</v>
      </c>
    </row>
    <row r="305" spans="1:15" x14ac:dyDescent="0.3">
      <c r="A305" t="s">
        <v>654</v>
      </c>
      <c r="B305" s="3">
        <v>45629</v>
      </c>
      <c r="C305" t="s">
        <v>42</v>
      </c>
      <c r="D305" t="s">
        <v>80</v>
      </c>
      <c r="E305" t="s">
        <v>35</v>
      </c>
      <c r="F305" t="s">
        <v>36</v>
      </c>
      <c r="G305">
        <v>3824.23</v>
      </c>
      <c r="H305">
        <v>3066.81</v>
      </c>
      <c r="I305">
        <v>757.42</v>
      </c>
      <c r="J305">
        <v>14</v>
      </c>
      <c r="K305">
        <v>1</v>
      </c>
      <c r="L305" t="s">
        <v>22</v>
      </c>
      <c r="M305" t="s">
        <v>179</v>
      </c>
      <c r="N305">
        <v>4</v>
      </c>
      <c r="O305" t="s">
        <v>56</v>
      </c>
    </row>
    <row r="306" spans="1:15" x14ac:dyDescent="0.3">
      <c r="A306" t="s">
        <v>655</v>
      </c>
      <c r="B306" s="3">
        <v>45317</v>
      </c>
      <c r="C306" t="s">
        <v>59</v>
      </c>
      <c r="D306" t="s">
        <v>155</v>
      </c>
      <c r="E306" t="s">
        <v>87</v>
      </c>
      <c r="F306" t="s">
        <v>44</v>
      </c>
      <c r="G306">
        <v>1986.31</v>
      </c>
      <c r="H306">
        <v>1222.8499999999999</v>
      </c>
      <c r="I306">
        <v>763.46</v>
      </c>
      <c r="K306">
        <v>3</v>
      </c>
      <c r="L306" t="s">
        <v>29</v>
      </c>
      <c r="M306" t="s">
        <v>25</v>
      </c>
      <c r="N306">
        <v>1</v>
      </c>
      <c r="O306" t="s">
        <v>21</v>
      </c>
    </row>
    <row r="307" spans="1:15" x14ac:dyDescent="0.3">
      <c r="A307" t="s">
        <v>657</v>
      </c>
      <c r="B307" s="3">
        <v>45553</v>
      </c>
      <c r="C307" t="s">
        <v>33</v>
      </c>
      <c r="D307" t="s">
        <v>119</v>
      </c>
      <c r="E307" t="s">
        <v>19</v>
      </c>
      <c r="F307" t="s">
        <v>73</v>
      </c>
      <c r="G307">
        <v>802.84</v>
      </c>
      <c r="H307">
        <v>610.16</v>
      </c>
      <c r="I307">
        <v>192.68</v>
      </c>
      <c r="K307">
        <v>5</v>
      </c>
      <c r="L307" t="s">
        <v>22</v>
      </c>
      <c r="M307" t="s">
        <v>115</v>
      </c>
      <c r="N307">
        <v>3</v>
      </c>
      <c r="O307" t="s">
        <v>21</v>
      </c>
    </row>
    <row r="308" spans="1:15" x14ac:dyDescent="0.3">
      <c r="A308" t="s">
        <v>659</v>
      </c>
      <c r="B308" s="3">
        <v>45529</v>
      </c>
      <c r="C308" t="s">
        <v>33</v>
      </c>
      <c r="D308" t="s">
        <v>39</v>
      </c>
      <c r="E308" t="s">
        <v>40</v>
      </c>
      <c r="F308" t="s">
        <v>36</v>
      </c>
      <c r="G308">
        <v>4944.26</v>
      </c>
      <c r="H308">
        <v>3526.57</v>
      </c>
      <c r="I308">
        <v>1417.69</v>
      </c>
      <c r="J308">
        <v>8</v>
      </c>
      <c r="K308">
        <v>2</v>
      </c>
      <c r="L308" t="s">
        <v>29</v>
      </c>
      <c r="M308" t="s">
        <v>32</v>
      </c>
      <c r="N308">
        <v>3</v>
      </c>
      <c r="O308" t="s">
        <v>56</v>
      </c>
    </row>
    <row r="309" spans="1:15" x14ac:dyDescent="0.3">
      <c r="A309" t="s">
        <v>661</v>
      </c>
      <c r="B309" s="3">
        <v>45583</v>
      </c>
      <c r="C309" t="s">
        <v>59</v>
      </c>
      <c r="D309" t="s">
        <v>308</v>
      </c>
      <c r="E309" t="s">
        <v>27</v>
      </c>
      <c r="F309" t="s">
        <v>20</v>
      </c>
      <c r="G309">
        <v>583.22</v>
      </c>
      <c r="H309">
        <v>446.64</v>
      </c>
      <c r="I309">
        <v>136.58000000000001</v>
      </c>
      <c r="K309">
        <v>3</v>
      </c>
      <c r="L309" t="s">
        <v>22</v>
      </c>
      <c r="M309" t="s">
        <v>68</v>
      </c>
      <c r="N309">
        <v>4</v>
      </c>
      <c r="O309" t="s">
        <v>21</v>
      </c>
    </row>
    <row r="310" spans="1:15" x14ac:dyDescent="0.3">
      <c r="A310" t="s">
        <v>663</v>
      </c>
      <c r="B310" s="3">
        <v>45543</v>
      </c>
      <c r="C310" t="s">
        <v>59</v>
      </c>
      <c r="D310" t="s">
        <v>308</v>
      </c>
      <c r="E310" t="s">
        <v>27</v>
      </c>
      <c r="F310" t="s">
        <v>73</v>
      </c>
      <c r="G310">
        <v>2611.63</v>
      </c>
      <c r="H310">
        <v>2082.64</v>
      </c>
      <c r="I310">
        <v>528.99</v>
      </c>
      <c r="K310">
        <v>4</v>
      </c>
      <c r="L310" t="s">
        <v>22</v>
      </c>
      <c r="M310" t="s">
        <v>115</v>
      </c>
      <c r="N310">
        <v>3</v>
      </c>
      <c r="O310" t="s">
        <v>21</v>
      </c>
    </row>
    <row r="311" spans="1:15" x14ac:dyDescent="0.3">
      <c r="A311" t="s">
        <v>664</v>
      </c>
      <c r="B311" s="3">
        <v>45648</v>
      </c>
      <c r="C311" t="s">
        <v>33</v>
      </c>
      <c r="D311" t="s">
        <v>297</v>
      </c>
      <c r="E311" t="s">
        <v>27</v>
      </c>
      <c r="F311" t="s">
        <v>20</v>
      </c>
      <c r="G311">
        <v>2080</v>
      </c>
      <c r="H311">
        <v>1365.25</v>
      </c>
      <c r="I311">
        <v>714.75</v>
      </c>
      <c r="K311">
        <v>5</v>
      </c>
      <c r="L311" t="s">
        <v>22</v>
      </c>
      <c r="M311" t="s">
        <v>179</v>
      </c>
      <c r="N311">
        <v>4</v>
      </c>
      <c r="O311" t="s">
        <v>21</v>
      </c>
    </row>
    <row r="312" spans="1:15" x14ac:dyDescent="0.3">
      <c r="A312" t="s">
        <v>665</v>
      </c>
      <c r="B312" s="3">
        <v>45483</v>
      </c>
      <c r="C312" t="s">
        <v>17</v>
      </c>
      <c r="D312" t="s">
        <v>100</v>
      </c>
      <c r="E312" t="s">
        <v>27</v>
      </c>
      <c r="F312" t="s">
        <v>20</v>
      </c>
      <c r="G312">
        <v>1543.08</v>
      </c>
      <c r="H312">
        <v>1060.57</v>
      </c>
      <c r="I312">
        <v>482.51</v>
      </c>
      <c r="K312">
        <v>5</v>
      </c>
      <c r="L312" t="s">
        <v>22</v>
      </c>
      <c r="M312" t="s">
        <v>54</v>
      </c>
      <c r="N312">
        <v>3</v>
      </c>
      <c r="O312" t="s">
        <v>21</v>
      </c>
    </row>
    <row r="313" spans="1:15" x14ac:dyDescent="0.3">
      <c r="A313" t="s">
        <v>666</v>
      </c>
      <c r="B313" s="3">
        <v>45436</v>
      </c>
      <c r="C313" t="s">
        <v>17</v>
      </c>
      <c r="D313" t="s">
        <v>51</v>
      </c>
      <c r="E313" t="s">
        <v>27</v>
      </c>
      <c r="F313" t="s">
        <v>36</v>
      </c>
      <c r="G313">
        <v>220.51</v>
      </c>
      <c r="H313">
        <v>130.26</v>
      </c>
      <c r="I313">
        <v>90.25</v>
      </c>
      <c r="K313">
        <v>3</v>
      </c>
      <c r="L313" t="s">
        <v>29</v>
      </c>
      <c r="M313" t="s">
        <v>104</v>
      </c>
      <c r="N313">
        <v>2</v>
      </c>
      <c r="O313" t="s">
        <v>21</v>
      </c>
    </row>
    <row r="314" spans="1:15" x14ac:dyDescent="0.3">
      <c r="A314" t="s">
        <v>668</v>
      </c>
      <c r="B314" s="3">
        <v>45401</v>
      </c>
      <c r="C314" t="s">
        <v>42</v>
      </c>
      <c r="D314" t="s">
        <v>80</v>
      </c>
      <c r="E314" t="s">
        <v>19</v>
      </c>
      <c r="F314" t="s">
        <v>20</v>
      </c>
      <c r="G314">
        <v>274.02999999999997</v>
      </c>
      <c r="H314">
        <v>226.3</v>
      </c>
      <c r="I314">
        <v>47.73</v>
      </c>
      <c r="K314">
        <v>1</v>
      </c>
      <c r="L314" t="s">
        <v>29</v>
      </c>
      <c r="M314" t="s">
        <v>16</v>
      </c>
      <c r="N314">
        <v>2</v>
      </c>
      <c r="O314" t="s">
        <v>21</v>
      </c>
    </row>
    <row r="315" spans="1:15" x14ac:dyDescent="0.3">
      <c r="A315" t="s">
        <v>670</v>
      </c>
      <c r="B315" s="3">
        <v>45326</v>
      </c>
      <c r="C315" t="s">
        <v>42</v>
      </c>
      <c r="D315" t="s">
        <v>77</v>
      </c>
      <c r="E315" t="s">
        <v>35</v>
      </c>
      <c r="F315" t="s">
        <v>36</v>
      </c>
      <c r="G315">
        <v>441.54</v>
      </c>
      <c r="H315">
        <v>363.12</v>
      </c>
      <c r="I315">
        <v>78.42</v>
      </c>
      <c r="K315">
        <v>5</v>
      </c>
      <c r="L315" t="s">
        <v>29</v>
      </c>
      <c r="M315" t="s">
        <v>124</v>
      </c>
      <c r="N315">
        <v>1</v>
      </c>
      <c r="O315" t="s">
        <v>21</v>
      </c>
    </row>
    <row r="316" spans="1:15" x14ac:dyDescent="0.3">
      <c r="A316" t="s">
        <v>672</v>
      </c>
      <c r="B316" s="3">
        <v>45374</v>
      </c>
      <c r="C316" t="s">
        <v>59</v>
      </c>
      <c r="D316" t="s">
        <v>308</v>
      </c>
      <c r="E316" t="s">
        <v>84</v>
      </c>
      <c r="F316" t="s">
        <v>44</v>
      </c>
      <c r="G316">
        <v>1254.8399999999999</v>
      </c>
      <c r="H316">
        <v>907.77</v>
      </c>
      <c r="I316">
        <v>347.07</v>
      </c>
      <c r="K316">
        <v>5</v>
      </c>
      <c r="L316" t="s">
        <v>29</v>
      </c>
      <c r="M316" t="s">
        <v>76</v>
      </c>
      <c r="N316">
        <v>1</v>
      </c>
      <c r="O316" t="s">
        <v>21</v>
      </c>
    </row>
    <row r="317" spans="1:15" x14ac:dyDescent="0.3">
      <c r="A317" t="s">
        <v>674</v>
      </c>
      <c r="B317" s="3">
        <v>45491</v>
      </c>
      <c r="C317" t="s">
        <v>17</v>
      </c>
      <c r="D317" t="s">
        <v>72</v>
      </c>
      <c r="E317" t="s">
        <v>35</v>
      </c>
      <c r="F317" t="s">
        <v>28</v>
      </c>
      <c r="G317">
        <v>590.25</v>
      </c>
      <c r="H317">
        <v>465.95</v>
      </c>
      <c r="I317">
        <v>124.3</v>
      </c>
      <c r="J317">
        <v>3</v>
      </c>
      <c r="K317">
        <v>1</v>
      </c>
      <c r="L317" t="s">
        <v>22</v>
      </c>
      <c r="M317" t="s">
        <v>54</v>
      </c>
      <c r="N317">
        <v>3</v>
      </c>
      <c r="O317" t="s">
        <v>56</v>
      </c>
    </row>
    <row r="318" spans="1:15" x14ac:dyDescent="0.3">
      <c r="A318" t="s">
        <v>676</v>
      </c>
      <c r="B318" s="3">
        <v>45525</v>
      </c>
      <c r="C318" t="s">
        <v>33</v>
      </c>
      <c r="D318" t="s">
        <v>171</v>
      </c>
      <c r="E318" t="s">
        <v>35</v>
      </c>
      <c r="F318" t="s">
        <v>73</v>
      </c>
      <c r="G318">
        <v>299.12</v>
      </c>
      <c r="H318">
        <v>189.39</v>
      </c>
      <c r="I318">
        <v>109.73</v>
      </c>
      <c r="K318">
        <v>2</v>
      </c>
      <c r="L318" t="s">
        <v>22</v>
      </c>
      <c r="M318" t="s">
        <v>32</v>
      </c>
      <c r="N318">
        <v>3</v>
      </c>
      <c r="O318" t="s">
        <v>21</v>
      </c>
    </row>
    <row r="319" spans="1:15" x14ac:dyDescent="0.3">
      <c r="A319" t="s">
        <v>677</v>
      </c>
      <c r="B319" s="3">
        <v>45615</v>
      </c>
      <c r="C319" t="s">
        <v>42</v>
      </c>
      <c r="D319" t="s">
        <v>162</v>
      </c>
      <c r="E319" t="s">
        <v>35</v>
      </c>
      <c r="F319" t="s">
        <v>73</v>
      </c>
      <c r="G319">
        <v>2937.24</v>
      </c>
      <c r="H319">
        <v>2159.09</v>
      </c>
      <c r="I319">
        <v>778.15</v>
      </c>
      <c r="K319">
        <v>5</v>
      </c>
      <c r="L319" t="s">
        <v>29</v>
      </c>
      <c r="M319" t="s">
        <v>111</v>
      </c>
      <c r="N319">
        <v>4</v>
      </c>
      <c r="O319" t="s">
        <v>21</v>
      </c>
    </row>
    <row r="320" spans="1:15" x14ac:dyDescent="0.3">
      <c r="A320" t="s">
        <v>679</v>
      </c>
      <c r="B320" s="3">
        <v>45464</v>
      </c>
      <c r="C320" t="s">
        <v>33</v>
      </c>
      <c r="D320" t="s">
        <v>39</v>
      </c>
      <c r="E320" t="s">
        <v>84</v>
      </c>
      <c r="F320" t="s">
        <v>44</v>
      </c>
      <c r="G320">
        <v>2767.52</v>
      </c>
      <c r="H320">
        <v>1850.94</v>
      </c>
      <c r="I320">
        <v>916.58</v>
      </c>
      <c r="K320">
        <v>4</v>
      </c>
      <c r="L320" t="s">
        <v>22</v>
      </c>
      <c r="M320" t="s">
        <v>64</v>
      </c>
      <c r="N320">
        <v>2</v>
      </c>
      <c r="O320" t="s">
        <v>21</v>
      </c>
    </row>
    <row r="321" spans="1:15" x14ac:dyDescent="0.3">
      <c r="A321" t="s">
        <v>680</v>
      </c>
      <c r="B321" s="3">
        <v>45579</v>
      </c>
      <c r="C321" t="s">
        <v>33</v>
      </c>
      <c r="D321" t="s">
        <v>1698</v>
      </c>
      <c r="E321" t="s">
        <v>35</v>
      </c>
      <c r="F321" t="s">
        <v>44</v>
      </c>
      <c r="G321">
        <v>3012.08</v>
      </c>
      <c r="H321">
        <v>2038.19</v>
      </c>
      <c r="I321">
        <v>973.89</v>
      </c>
      <c r="J321">
        <v>10</v>
      </c>
      <c r="K321">
        <v>4</v>
      </c>
      <c r="L321" t="s">
        <v>22</v>
      </c>
      <c r="M321" t="s">
        <v>68</v>
      </c>
      <c r="N321">
        <v>4</v>
      </c>
      <c r="O321" t="s">
        <v>56</v>
      </c>
    </row>
    <row r="322" spans="1:15" x14ac:dyDescent="0.3">
      <c r="A322" t="s">
        <v>681</v>
      </c>
      <c r="B322" s="3">
        <v>45305</v>
      </c>
      <c r="C322" t="s">
        <v>42</v>
      </c>
      <c r="D322" t="s">
        <v>47</v>
      </c>
      <c r="E322" t="s">
        <v>35</v>
      </c>
      <c r="F322" t="s">
        <v>73</v>
      </c>
      <c r="G322">
        <v>310.52</v>
      </c>
      <c r="H322">
        <v>221.89</v>
      </c>
      <c r="I322">
        <v>88.63</v>
      </c>
      <c r="K322">
        <v>4</v>
      </c>
      <c r="L322" t="s">
        <v>22</v>
      </c>
      <c r="M322" t="s">
        <v>25</v>
      </c>
      <c r="N322">
        <v>1</v>
      </c>
      <c r="O322" t="s">
        <v>21</v>
      </c>
    </row>
    <row r="323" spans="1:15" x14ac:dyDescent="0.3">
      <c r="A323" t="s">
        <v>682</v>
      </c>
      <c r="B323" s="3">
        <v>45338</v>
      </c>
      <c r="C323" t="s">
        <v>33</v>
      </c>
      <c r="D323" t="s">
        <v>205</v>
      </c>
      <c r="E323" t="s">
        <v>35</v>
      </c>
      <c r="F323" t="s">
        <v>36</v>
      </c>
      <c r="G323">
        <v>947.56</v>
      </c>
      <c r="H323">
        <v>550.12</v>
      </c>
      <c r="I323">
        <v>397.44</v>
      </c>
      <c r="K323">
        <v>4</v>
      </c>
      <c r="L323" t="s">
        <v>22</v>
      </c>
      <c r="M323" t="s">
        <v>124</v>
      </c>
      <c r="N323">
        <v>1</v>
      </c>
      <c r="O323" t="s">
        <v>21</v>
      </c>
    </row>
    <row r="324" spans="1:15" x14ac:dyDescent="0.3">
      <c r="A324" t="s">
        <v>684</v>
      </c>
      <c r="B324" s="3">
        <v>45523</v>
      </c>
      <c r="C324" t="s">
        <v>59</v>
      </c>
      <c r="D324" t="s">
        <v>108</v>
      </c>
      <c r="E324" t="s">
        <v>19</v>
      </c>
      <c r="F324" t="s">
        <v>36</v>
      </c>
      <c r="G324">
        <v>1825.24</v>
      </c>
      <c r="H324">
        <v>1384.99</v>
      </c>
      <c r="I324">
        <v>440.25</v>
      </c>
      <c r="K324">
        <v>5</v>
      </c>
      <c r="L324" t="s">
        <v>22</v>
      </c>
      <c r="M324" t="s">
        <v>32</v>
      </c>
      <c r="N324">
        <v>3</v>
      </c>
      <c r="O324" t="s">
        <v>21</v>
      </c>
    </row>
    <row r="325" spans="1:15" x14ac:dyDescent="0.3">
      <c r="A325" t="s">
        <v>686</v>
      </c>
      <c r="B325" s="3">
        <v>45387</v>
      </c>
      <c r="C325" t="s">
        <v>7</v>
      </c>
      <c r="D325" t="s">
        <v>128</v>
      </c>
      <c r="E325" t="s">
        <v>19</v>
      </c>
      <c r="F325" t="s">
        <v>36</v>
      </c>
      <c r="G325">
        <v>3139.39</v>
      </c>
      <c r="H325">
        <v>2285.8000000000002</v>
      </c>
      <c r="I325">
        <v>853.59</v>
      </c>
      <c r="K325">
        <v>4</v>
      </c>
      <c r="L325" t="s">
        <v>22</v>
      </c>
      <c r="M325" t="s">
        <v>16</v>
      </c>
      <c r="N325">
        <v>2</v>
      </c>
      <c r="O325" t="s">
        <v>21</v>
      </c>
    </row>
    <row r="326" spans="1:15" x14ac:dyDescent="0.3">
      <c r="A326" t="s">
        <v>687</v>
      </c>
      <c r="B326" s="3">
        <v>45553</v>
      </c>
      <c r="C326" t="s">
        <v>59</v>
      </c>
      <c r="D326" t="s">
        <v>194</v>
      </c>
      <c r="E326" t="s">
        <v>40</v>
      </c>
      <c r="F326" t="s">
        <v>36</v>
      </c>
      <c r="G326">
        <v>1445.76</v>
      </c>
      <c r="H326">
        <v>1003.6</v>
      </c>
      <c r="I326">
        <v>442.16</v>
      </c>
      <c r="K326">
        <v>5</v>
      </c>
      <c r="L326" t="s">
        <v>29</v>
      </c>
      <c r="M326" t="s">
        <v>115</v>
      </c>
      <c r="N326">
        <v>3</v>
      </c>
      <c r="O326" t="s">
        <v>21</v>
      </c>
    </row>
    <row r="327" spans="1:15" x14ac:dyDescent="0.3">
      <c r="A327" t="s">
        <v>688</v>
      </c>
      <c r="B327" s="3">
        <v>45616</v>
      </c>
      <c r="C327" t="s">
        <v>17</v>
      </c>
      <c r="D327" t="s">
        <v>51</v>
      </c>
      <c r="E327" t="s">
        <v>40</v>
      </c>
      <c r="F327" t="s">
        <v>20</v>
      </c>
      <c r="G327">
        <v>3192.81</v>
      </c>
      <c r="H327">
        <v>2401.4299999999998</v>
      </c>
      <c r="I327">
        <v>791.38</v>
      </c>
      <c r="K327">
        <v>5</v>
      </c>
      <c r="L327" t="s">
        <v>22</v>
      </c>
      <c r="M327" t="s">
        <v>111</v>
      </c>
      <c r="N327">
        <v>4</v>
      </c>
      <c r="O327" t="s">
        <v>21</v>
      </c>
    </row>
    <row r="328" spans="1:15" x14ac:dyDescent="0.3">
      <c r="A328" t="s">
        <v>690</v>
      </c>
      <c r="B328" s="3">
        <v>45485</v>
      </c>
      <c r="C328" t="s">
        <v>17</v>
      </c>
      <c r="D328" t="s">
        <v>226</v>
      </c>
      <c r="E328" t="s">
        <v>35</v>
      </c>
      <c r="F328" t="s">
        <v>36</v>
      </c>
      <c r="G328">
        <v>559.96</v>
      </c>
      <c r="H328">
        <v>395.98</v>
      </c>
      <c r="I328">
        <v>163.98</v>
      </c>
      <c r="K328">
        <v>2</v>
      </c>
      <c r="L328" t="s">
        <v>22</v>
      </c>
      <c r="M328" t="s">
        <v>54</v>
      </c>
      <c r="N328">
        <v>3</v>
      </c>
      <c r="O328" t="s">
        <v>21</v>
      </c>
    </row>
    <row r="329" spans="1:15" x14ac:dyDescent="0.3">
      <c r="A329" t="s">
        <v>692</v>
      </c>
      <c r="B329" s="3">
        <v>45338</v>
      </c>
      <c r="C329" t="s">
        <v>59</v>
      </c>
      <c r="D329" t="s">
        <v>116</v>
      </c>
      <c r="E329" t="s">
        <v>40</v>
      </c>
      <c r="F329" t="s">
        <v>28</v>
      </c>
      <c r="G329">
        <v>2276.17</v>
      </c>
      <c r="H329">
        <v>1295.54</v>
      </c>
      <c r="I329">
        <v>980.63</v>
      </c>
      <c r="K329">
        <v>2</v>
      </c>
      <c r="L329" t="s">
        <v>22</v>
      </c>
      <c r="M329" t="s">
        <v>124</v>
      </c>
      <c r="N329">
        <v>1</v>
      </c>
      <c r="O329" t="s">
        <v>21</v>
      </c>
    </row>
    <row r="330" spans="1:15" x14ac:dyDescent="0.3">
      <c r="A330" t="s">
        <v>693</v>
      </c>
      <c r="B330" s="3">
        <v>45455</v>
      </c>
      <c r="C330" t="s">
        <v>42</v>
      </c>
      <c r="D330" t="s">
        <v>162</v>
      </c>
      <c r="E330" t="s">
        <v>35</v>
      </c>
      <c r="F330" t="s">
        <v>28</v>
      </c>
      <c r="G330">
        <v>1662.49</v>
      </c>
      <c r="H330">
        <v>1483.23</v>
      </c>
      <c r="I330">
        <v>179.26</v>
      </c>
      <c r="J330">
        <v>12</v>
      </c>
      <c r="K330">
        <v>1</v>
      </c>
      <c r="L330" t="s">
        <v>29</v>
      </c>
      <c r="M330" t="s">
        <v>64</v>
      </c>
      <c r="N330">
        <v>2</v>
      </c>
      <c r="O330" t="s">
        <v>56</v>
      </c>
    </row>
    <row r="331" spans="1:15" x14ac:dyDescent="0.3">
      <c r="A331" t="s">
        <v>694</v>
      </c>
      <c r="B331" s="3">
        <v>45653</v>
      </c>
      <c r="C331" t="s">
        <v>42</v>
      </c>
      <c r="D331" t="s">
        <v>80</v>
      </c>
      <c r="E331" t="s">
        <v>19</v>
      </c>
      <c r="F331" t="s">
        <v>73</v>
      </c>
      <c r="G331">
        <v>3160.45</v>
      </c>
      <c r="H331">
        <v>2844.73</v>
      </c>
      <c r="I331">
        <v>315.72000000000003</v>
      </c>
      <c r="K331">
        <v>3</v>
      </c>
      <c r="L331" t="s">
        <v>22</v>
      </c>
      <c r="M331" t="s">
        <v>179</v>
      </c>
      <c r="N331">
        <v>4</v>
      </c>
      <c r="O331" t="s">
        <v>21</v>
      </c>
    </row>
    <row r="332" spans="1:15" x14ac:dyDescent="0.3">
      <c r="A332" t="s">
        <v>695</v>
      </c>
      <c r="B332" s="3">
        <v>45641</v>
      </c>
      <c r="C332" t="s">
        <v>59</v>
      </c>
      <c r="D332" t="s">
        <v>490</v>
      </c>
      <c r="E332" t="s">
        <v>40</v>
      </c>
      <c r="F332" t="s">
        <v>36</v>
      </c>
      <c r="G332">
        <v>633.91</v>
      </c>
      <c r="H332">
        <v>465.14</v>
      </c>
      <c r="I332">
        <v>168.77</v>
      </c>
      <c r="K332">
        <v>4</v>
      </c>
      <c r="L332" t="s">
        <v>29</v>
      </c>
      <c r="M332" t="s">
        <v>179</v>
      </c>
      <c r="N332">
        <v>4</v>
      </c>
      <c r="O332" t="s">
        <v>21</v>
      </c>
    </row>
    <row r="333" spans="1:15" x14ac:dyDescent="0.3">
      <c r="A333" t="s">
        <v>697</v>
      </c>
      <c r="B333" s="3">
        <v>45633</v>
      </c>
      <c r="C333" t="s">
        <v>42</v>
      </c>
      <c r="D333" t="s">
        <v>77</v>
      </c>
      <c r="E333" t="s">
        <v>84</v>
      </c>
      <c r="F333" t="s">
        <v>44</v>
      </c>
      <c r="G333">
        <v>1287.46</v>
      </c>
      <c r="H333">
        <v>1075.3699999999999</v>
      </c>
      <c r="I333">
        <v>212.09</v>
      </c>
      <c r="K333">
        <v>5</v>
      </c>
      <c r="L333" t="s">
        <v>22</v>
      </c>
      <c r="M333" t="s">
        <v>179</v>
      </c>
      <c r="N333">
        <v>4</v>
      </c>
      <c r="O333" t="s">
        <v>21</v>
      </c>
    </row>
    <row r="334" spans="1:15" x14ac:dyDescent="0.3">
      <c r="A334" t="s">
        <v>699</v>
      </c>
      <c r="B334" s="3">
        <v>45645</v>
      </c>
      <c r="C334" t="s">
        <v>33</v>
      </c>
      <c r="D334" t="s">
        <v>105</v>
      </c>
      <c r="E334" t="s">
        <v>84</v>
      </c>
      <c r="F334" t="s">
        <v>20</v>
      </c>
      <c r="G334">
        <v>3076.88</v>
      </c>
      <c r="H334">
        <v>2157.12</v>
      </c>
      <c r="I334">
        <v>919.76</v>
      </c>
      <c r="K334">
        <v>4</v>
      </c>
      <c r="L334" t="s">
        <v>22</v>
      </c>
      <c r="M334" t="s">
        <v>179</v>
      </c>
      <c r="N334">
        <v>4</v>
      </c>
      <c r="O334" t="s">
        <v>21</v>
      </c>
    </row>
    <row r="335" spans="1:15" x14ac:dyDescent="0.3">
      <c r="A335" t="s">
        <v>701</v>
      </c>
      <c r="B335" s="3">
        <v>45398</v>
      </c>
      <c r="C335" t="s">
        <v>7</v>
      </c>
      <c r="D335" t="s">
        <v>55</v>
      </c>
      <c r="E335" t="s">
        <v>19</v>
      </c>
      <c r="F335" t="s">
        <v>44</v>
      </c>
      <c r="G335">
        <v>918.85</v>
      </c>
      <c r="H335">
        <v>618.26</v>
      </c>
      <c r="I335">
        <v>300.58999999999997</v>
      </c>
      <c r="K335">
        <v>4</v>
      </c>
      <c r="L335" t="s">
        <v>22</v>
      </c>
      <c r="M335" t="s">
        <v>16</v>
      </c>
      <c r="N335">
        <v>2</v>
      </c>
      <c r="O335" t="s">
        <v>21</v>
      </c>
    </row>
    <row r="336" spans="1:15" x14ac:dyDescent="0.3">
      <c r="A336" t="s">
        <v>702</v>
      </c>
      <c r="B336" s="3">
        <v>45579</v>
      </c>
      <c r="C336" t="s">
        <v>59</v>
      </c>
      <c r="D336" t="s">
        <v>60</v>
      </c>
      <c r="E336" t="s">
        <v>40</v>
      </c>
      <c r="F336" t="s">
        <v>73</v>
      </c>
      <c r="G336">
        <v>2180.1799999999998</v>
      </c>
      <c r="H336">
        <v>1238.31</v>
      </c>
      <c r="I336">
        <v>941.87</v>
      </c>
      <c r="K336">
        <v>5</v>
      </c>
      <c r="L336" t="s">
        <v>29</v>
      </c>
      <c r="M336" t="s">
        <v>68</v>
      </c>
      <c r="N336">
        <v>4</v>
      </c>
      <c r="O336" t="s">
        <v>21</v>
      </c>
    </row>
    <row r="337" spans="1:15" x14ac:dyDescent="0.3">
      <c r="A337" t="s">
        <v>704</v>
      </c>
      <c r="B337" s="3">
        <v>45574</v>
      </c>
      <c r="C337" t="s">
        <v>17</v>
      </c>
      <c r="D337" t="s">
        <v>72</v>
      </c>
      <c r="E337" t="s">
        <v>27</v>
      </c>
      <c r="F337" t="s">
        <v>36</v>
      </c>
      <c r="G337">
        <v>396.74</v>
      </c>
      <c r="H337">
        <v>310.11</v>
      </c>
      <c r="I337">
        <v>86.63</v>
      </c>
      <c r="K337">
        <v>3</v>
      </c>
      <c r="L337" t="s">
        <v>22</v>
      </c>
      <c r="M337" t="s">
        <v>68</v>
      </c>
      <c r="N337">
        <v>4</v>
      </c>
      <c r="O337" t="s">
        <v>21</v>
      </c>
    </row>
    <row r="338" spans="1:15" x14ac:dyDescent="0.3">
      <c r="A338" t="s">
        <v>706</v>
      </c>
      <c r="B338" s="3">
        <v>45313</v>
      </c>
      <c r="C338" t="s">
        <v>59</v>
      </c>
      <c r="D338" t="s">
        <v>490</v>
      </c>
      <c r="E338" t="s">
        <v>19</v>
      </c>
      <c r="F338" t="s">
        <v>44</v>
      </c>
      <c r="G338">
        <v>2644.83</v>
      </c>
      <c r="H338">
        <v>1818.04</v>
      </c>
      <c r="I338">
        <v>826.79</v>
      </c>
      <c r="K338">
        <v>3</v>
      </c>
      <c r="L338" t="s">
        <v>22</v>
      </c>
      <c r="M338" t="s">
        <v>25</v>
      </c>
      <c r="N338">
        <v>1</v>
      </c>
      <c r="O338" t="s">
        <v>21</v>
      </c>
    </row>
    <row r="339" spans="1:15" x14ac:dyDescent="0.3">
      <c r="A339" t="s">
        <v>708</v>
      </c>
      <c r="B339" s="3">
        <v>45624</v>
      </c>
      <c r="C339" t="s">
        <v>59</v>
      </c>
      <c r="D339" t="s">
        <v>108</v>
      </c>
      <c r="E339" t="s">
        <v>40</v>
      </c>
      <c r="F339" t="s">
        <v>20</v>
      </c>
      <c r="G339">
        <v>1400.96</v>
      </c>
      <c r="H339">
        <v>1085.6099999999999</v>
      </c>
      <c r="I339">
        <v>315.35000000000002</v>
      </c>
      <c r="J339">
        <v>6</v>
      </c>
      <c r="K339">
        <v>1</v>
      </c>
      <c r="L339" t="s">
        <v>22</v>
      </c>
      <c r="M339" t="s">
        <v>111</v>
      </c>
      <c r="N339">
        <v>4</v>
      </c>
      <c r="O339" t="s">
        <v>56</v>
      </c>
    </row>
    <row r="340" spans="1:15" x14ac:dyDescent="0.3">
      <c r="A340" t="s">
        <v>710</v>
      </c>
      <c r="B340" s="3">
        <v>45529</v>
      </c>
      <c r="C340" t="s">
        <v>7</v>
      </c>
      <c r="D340" t="s">
        <v>134</v>
      </c>
      <c r="E340" t="s">
        <v>84</v>
      </c>
      <c r="F340" t="s">
        <v>20</v>
      </c>
      <c r="G340">
        <v>1533.33</v>
      </c>
      <c r="H340">
        <v>1157.82</v>
      </c>
      <c r="I340">
        <v>375.51</v>
      </c>
      <c r="J340">
        <v>4</v>
      </c>
      <c r="K340">
        <v>3</v>
      </c>
      <c r="L340" t="s">
        <v>22</v>
      </c>
      <c r="M340" t="s">
        <v>32</v>
      </c>
      <c r="N340">
        <v>3</v>
      </c>
      <c r="O340" t="s">
        <v>56</v>
      </c>
    </row>
    <row r="341" spans="1:15" x14ac:dyDescent="0.3">
      <c r="A341" t="s">
        <v>712</v>
      </c>
      <c r="B341" s="3">
        <v>45305</v>
      </c>
      <c r="C341" t="s">
        <v>7</v>
      </c>
      <c r="D341" t="s">
        <v>55</v>
      </c>
      <c r="E341" t="s">
        <v>40</v>
      </c>
      <c r="F341" t="s">
        <v>36</v>
      </c>
      <c r="G341">
        <v>663.81</v>
      </c>
      <c r="H341">
        <v>427.23</v>
      </c>
      <c r="I341">
        <v>236.58</v>
      </c>
      <c r="K341">
        <v>5</v>
      </c>
      <c r="L341" t="s">
        <v>22</v>
      </c>
      <c r="M341" t="s">
        <v>25</v>
      </c>
      <c r="N341">
        <v>1</v>
      </c>
      <c r="O341" t="s">
        <v>21</v>
      </c>
    </row>
    <row r="342" spans="1:15" x14ac:dyDescent="0.3">
      <c r="A342" t="s">
        <v>713</v>
      </c>
      <c r="B342" s="3">
        <v>45546</v>
      </c>
      <c r="C342" t="s">
        <v>7</v>
      </c>
      <c r="D342" t="s">
        <v>182</v>
      </c>
      <c r="E342" t="s">
        <v>40</v>
      </c>
      <c r="F342" t="s">
        <v>20</v>
      </c>
      <c r="G342">
        <v>940.43</v>
      </c>
      <c r="H342">
        <v>612.47</v>
      </c>
      <c r="I342">
        <v>327.96</v>
      </c>
      <c r="K342">
        <v>4</v>
      </c>
      <c r="L342" t="s">
        <v>29</v>
      </c>
      <c r="M342" t="s">
        <v>115</v>
      </c>
      <c r="N342">
        <v>3</v>
      </c>
      <c r="O342" t="s">
        <v>56</v>
      </c>
    </row>
    <row r="343" spans="1:15" x14ac:dyDescent="0.3">
      <c r="A343" t="s">
        <v>715</v>
      </c>
      <c r="B343" s="3">
        <v>45505</v>
      </c>
      <c r="C343" t="s">
        <v>17</v>
      </c>
      <c r="D343" t="s">
        <v>96</v>
      </c>
      <c r="E343" t="s">
        <v>27</v>
      </c>
      <c r="F343" t="s">
        <v>44</v>
      </c>
      <c r="G343">
        <v>2762.18</v>
      </c>
      <c r="H343">
        <v>1705.22</v>
      </c>
      <c r="I343">
        <v>1056.96</v>
      </c>
      <c r="K343">
        <v>4</v>
      </c>
      <c r="L343" t="s">
        <v>29</v>
      </c>
      <c r="M343" t="s">
        <v>32</v>
      </c>
      <c r="N343">
        <v>3</v>
      </c>
      <c r="O343" t="s">
        <v>21</v>
      </c>
    </row>
    <row r="344" spans="1:15" x14ac:dyDescent="0.3">
      <c r="A344" t="s">
        <v>716</v>
      </c>
      <c r="B344" s="3">
        <v>45363</v>
      </c>
      <c r="C344" t="s">
        <v>17</v>
      </c>
      <c r="D344" t="s">
        <v>51</v>
      </c>
      <c r="E344" t="s">
        <v>40</v>
      </c>
      <c r="F344" t="s">
        <v>20</v>
      </c>
      <c r="G344">
        <v>2790.69</v>
      </c>
      <c r="H344">
        <v>1801.01</v>
      </c>
      <c r="I344">
        <v>989.68</v>
      </c>
      <c r="K344">
        <v>3</v>
      </c>
      <c r="L344" t="s">
        <v>22</v>
      </c>
      <c r="M344" t="s">
        <v>76</v>
      </c>
      <c r="N344">
        <v>1</v>
      </c>
      <c r="O344" t="s">
        <v>56</v>
      </c>
    </row>
    <row r="345" spans="1:15" x14ac:dyDescent="0.3">
      <c r="A345" t="s">
        <v>717</v>
      </c>
      <c r="B345" s="3">
        <v>45417</v>
      </c>
      <c r="C345" t="s">
        <v>7</v>
      </c>
      <c r="D345" t="s">
        <v>128</v>
      </c>
      <c r="E345" t="s">
        <v>1716</v>
      </c>
      <c r="F345" t="s">
        <v>28</v>
      </c>
      <c r="G345">
        <v>897.76</v>
      </c>
      <c r="H345">
        <v>659.06</v>
      </c>
      <c r="I345">
        <v>238.7</v>
      </c>
      <c r="K345">
        <v>3</v>
      </c>
      <c r="L345" t="s">
        <v>22</v>
      </c>
      <c r="M345" t="s">
        <v>104</v>
      </c>
      <c r="N345">
        <v>2</v>
      </c>
      <c r="O345" t="s">
        <v>56</v>
      </c>
    </row>
    <row r="346" spans="1:15" x14ac:dyDescent="0.3">
      <c r="A346" t="s">
        <v>718</v>
      </c>
      <c r="B346" s="3">
        <v>45332</v>
      </c>
      <c r="C346" t="s">
        <v>42</v>
      </c>
      <c r="D346" t="s">
        <v>1698</v>
      </c>
      <c r="E346" t="s">
        <v>84</v>
      </c>
      <c r="F346" t="s">
        <v>36</v>
      </c>
      <c r="G346">
        <v>1862.87</v>
      </c>
      <c r="H346">
        <v>1387.29</v>
      </c>
      <c r="I346">
        <v>475.58</v>
      </c>
      <c r="K346">
        <v>5</v>
      </c>
      <c r="L346" t="s">
        <v>22</v>
      </c>
      <c r="M346" t="s">
        <v>124</v>
      </c>
      <c r="N346">
        <v>1</v>
      </c>
      <c r="O346" t="s">
        <v>21</v>
      </c>
    </row>
    <row r="347" spans="1:15" x14ac:dyDescent="0.3">
      <c r="A347" t="s">
        <v>719</v>
      </c>
      <c r="B347" s="3">
        <v>45588</v>
      </c>
      <c r="C347" t="s">
        <v>17</v>
      </c>
      <c r="D347" t="s">
        <v>96</v>
      </c>
      <c r="E347" t="s">
        <v>35</v>
      </c>
      <c r="F347" t="s">
        <v>28</v>
      </c>
      <c r="G347">
        <v>2046.42</v>
      </c>
      <c r="H347">
        <v>1297.26</v>
      </c>
      <c r="I347">
        <v>749.16</v>
      </c>
      <c r="K347">
        <v>4</v>
      </c>
      <c r="L347" t="s">
        <v>22</v>
      </c>
      <c r="M347" t="s">
        <v>68</v>
      </c>
      <c r="N347">
        <v>4</v>
      </c>
      <c r="O347" t="s">
        <v>21</v>
      </c>
    </row>
    <row r="348" spans="1:15" x14ac:dyDescent="0.3">
      <c r="A348" t="s">
        <v>721</v>
      </c>
      <c r="B348" s="3">
        <v>45344</v>
      </c>
      <c r="C348" t="s">
        <v>42</v>
      </c>
      <c r="D348" t="s">
        <v>214</v>
      </c>
      <c r="E348" t="s">
        <v>87</v>
      </c>
      <c r="F348" t="s">
        <v>44</v>
      </c>
      <c r="G348">
        <v>2597.6999999999998</v>
      </c>
      <c r="H348">
        <v>1978.4</v>
      </c>
      <c r="I348">
        <v>619.29999999999995</v>
      </c>
      <c r="K348">
        <v>4</v>
      </c>
      <c r="L348" t="s">
        <v>22</v>
      </c>
      <c r="M348" t="s">
        <v>124</v>
      </c>
      <c r="N348">
        <v>1</v>
      </c>
      <c r="O348" t="s">
        <v>21</v>
      </c>
    </row>
    <row r="349" spans="1:15" x14ac:dyDescent="0.3">
      <c r="A349" t="s">
        <v>722</v>
      </c>
      <c r="B349" s="3">
        <v>45443</v>
      </c>
      <c r="C349" t="s">
        <v>17</v>
      </c>
      <c r="D349" t="s">
        <v>72</v>
      </c>
      <c r="E349" t="s">
        <v>19</v>
      </c>
      <c r="F349" t="s">
        <v>36</v>
      </c>
      <c r="G349">
        <v>950.86</v>
      </c>
      <c r="H349">
        <v>760.44</v>
      </c>
      <c r="I349">
        <v>190.42</v>
      </c>
      <c r="K349">
        <v>5</v>
      </c>
      <c r="L349" t="s">
        <v>22</v>
      </c>
      <c r="M349" t="s">
        <v>104</v>
      </c>
      <c r="N349">
        <v>2</v>
      </c>
      <c r="O349" t="s">
        <v>21</v>
      </c>
    </row>
    <row r="350" spans="1:15" x14ac:dyDescent="0.3">
      <c r="A350" t="s">
        <v>723</v>
      </c>
      <c r="B350" s="3">
        <v>45422</v>
      </c>
      <c r="C350" t="s">
        <v>7</v>
      </c>
      <c r="D350" t="s">
        <v>69</v>
      </c>
      <c r="E350" t="s">
        <v>19</v>
      </c>
      <c r="F350" t="s">
        <v>28</v>
      </c>
      <c r="G350">
        <v>3258.15</v>
      </c>
      <c r="H350">
        <v>2162.4</v>
      </c>
      <c r="I350">
        <v>1095.75</v>
      </c>
      <c r="K350">
        <v>4</v>
      </c>
      <c r="L350" t="s">
        <v>22</v>
      </c>
      <c r="M350" t="s">
        <v>104</v>
      </c>
      <c r="N350">
        <v>2</v>
      </c>
      <c r="O350" t="s">
        <v>21</v>
      </c>
    </row>
    <row r="351" spans="1:15" x14ac:dyDescent="0.3">
      <c r="A351" t="s">
        <v>725</v>
      </c>
      <c r="B351" s="3">
        <v>45476</v>
      </c>
      <c r="C351" t="s">
        <v>7</v>
      </c>
      <c r="D351" t="s">
        <v>55</v>
      </c>
      <c r="E351" t="s">
        <v>27</v>
      </c>
      <c r="F351" t="s">
        <v>20</v>
      </c>
      <c r="G351">
        <v>2681.15</v>
      </c>
      <c r="H351">
        <v>1736.15</v>
      </c>
      <c r="I351">
        <v>945</v>
      </c>
      <c r="K351">
        <v>2</v>
      </c>
      <c r="L351" t="s">
        <v>29</v>
      </c>
      <c r="M351" t="s">
        <v>54</v>
      </c>
      <c r="N351">
        <v>3</v>
      </c>
      <c r="O351" t="s">
        <v>21</v>
      </c>
    </row>
    <row r="352" spans="1:15" x14ac:dyDescent="0.3">
      <c r="A352" t="s">
        <v>726</v>
      </c>
      <c r="B352" s="3">
        <v>45571</v>
      </c>
      <c r="C352" t="s">
        <v>17</v>
      </c>
      <c r="D352" t="s">
        <v>100</v>
      </c>
      <c r="E352" t="s">
        <v>19</v>
      </c>
      <c r="F352" t="s">
        <v>28</v>
      </c>
      <c r="G352">
        <v>1021.91</v>
      </c>
      <c r="H352">
        <v>718.6</v>
      </c>
      <c r="I352">
        <v>303.31</v>
      </c>
      <c r="K352">
        <v>4</v>
      </c>
      <c r="L352" t="s">
        <v>22</v>
      </c>
      <c r="M352" t="s">
        <v>68</v>
      </c>
      <c r="N352">
        <v>4</v>
      </c>
      <c r="O352" t="s">
        <v>21</v>
      </c>
    </row>
    <row r="353" spans="1:15" x14ac:dyDescent="0.3">
      <c r="A353" t="s">
        <v>728</v>
      </c>
      <c r="B353" s="3">
        <v>45391</v>
      </c>
      <c r="C353" t="s">
        <v>59</v>
      </c>
      <c r="D353" t="s">
        <v>108</v>
      </c>
      <c r="E353" t="s">
        <v>40</v>
      </c>
      <c r="F353" t="s">
        <v>20</v>
      </c>
      <c r="G353">
        <v>1382.27</v>
      </c>
      <c r="H353">
        <v>1087.55</v>
      </c>
      <c r="I353">
        <v>294.72000000000003</v>
      </c>
      <c r="K353">
        <v>4</v>
      </c>
      <c r="L353" t="s">
        <v>22</v>
      </c>
      <c r="M353" t="s">
        <v>16</v>
      </c>
      <c r="N353">
        <v>2</v>
      </c>
      <c r="O353" t="s">
        <v>21</v>
      </c>
    </row>
    <row r="354" spans="1:15" x14ac:dyDescent="0.3">
      <c r="A354" t="s">
        <v>730</v>
      </c>
      <c r="B354" s="3">
        <v>45394</v>
      </c>
      <c r="C354" t="s">
        <v>7</v>
      </c>
      <c r="D354" t="s">
        <v>65</v>
      </c>
      <c r="E354" t="s">
        <v>87</v>
      </c>
      <c r="F354" t="s">
        <v>20</v>
      </c>
      <c r="G354">
        <v>2961.42</v>
      </c>
      <c r="H354">
        <v>2088.79</v>
      </c>
      <c r="I354">
        <v>872.63</v>
      </c>
      <c r="J354">
        <v>4</v>
      </c>
      <c r="K354">
        <v>2</v>
      </c>
      <c r="L354" t="s">
        <v>22</v>
      </c>
      <c r="M354" t="s">
        <v>16</v>
      </c>
      <c r="N354">
        <v>2</v>
      </c>
      <c r="O354" t="s">
        <v>56</v>
      </c>
    </row>
    <row r="355" spans="1:15" x14ac:dyDescent="0.3">
      <c r="A355" t="s">
        <v>732</v>
      </c>
      <c r="B355" s="3">
        <v>45344</v>
      </c>
      <c r="C355" t="s">
        <v>17</v>
      </c>
      <c r="D355" t="s">
        <v>18</v>
      </c>
      <c r="E355" t="s">
        <v>84</v>
      </c>
      <c r="F355" t="s">
        <v>44</v>
      </c>
      <c r="G355">
        <v>2533.19</v>
      </c>
      <c r="H355">
        <v>1719.98</v>
      </c>
      <c r="I355">
        <v>813.21</v>
      </c>
      <c r="K355">
        <v>4</v>
      </c>
      <c r="L355" t="s">
        <v>22</v>
      </c>
      <c r="M355" t="s">
        <v>124</v>
      </c>
      <c r="N355">
        <v>1</v>
      </c>
      <c r="O355" t="s">
        <v>21</v>
      </c>
    </row>
    <row r="356" spans="1:15" x14ac:dyDescent="0.3">
      <c r="A356" t="s">
        <v>733</v>
      </c>
      <c r="B356" s="3">
        <v>45546</v>
      </c>
      <c r="C356" t="s">
        <v>33</v>
      </c>
      <c r="D356" t="s">
        <v>105</v>
      </c>
      <c r="E356" t="s">
        <v>27</v>
      </c>
      <c r="F356" t="s">
        <v>36</v>
      </c>
      <c r="G356">
        <v>2999.12</v>
      </c>
      <c r="H356">
        <v>2315.38</v>
      </c>
      <c r="I356">
        <v>683.74</v>
      </c>
      <c r="K356">
        <v>5</v>
      </c>
      <c r="L356" t="s">
        <v>22</v>
      </c>
      <c r="M356" t="s">
        <v>115</v>
      </c>
      <c r="N356">
        <v>3</v>
      </c>
      <c r="O356" t="s">
        <v>21</v>
      </c>
    </row>
    <row r="357" spans="1:15" x14ac:dyDescent="0.3">
      <c r="A357" t="s">
        <v>735</v>
      </c>
      <c r="B357" s="3">
        <v>45331</v>
      </c>
      <c r="C357" t="s">
        <v>7</v>
      </c>
      <c r="D357" t="s">
        <v>134</v>
      </c>
      <c r="E357" t="s">
        <v>40</v>
      </c>
      <c r="F357" t="s">
        <v>36</v>
      </c>
      <c r="G357">
        <v>3038.07</v>
      </c>
      <c r="H357">
        <v>2108.2399999999998</v>
      </c>
      <c r="I357">
        <v>929.83</v>
      </c>
      <c r="K357">
        <v>3</v>
      </c>
      <c r="L357" t="s">
        <v>29</v>
      </c>
      <c r="M357" t="s">
        <v>124</v>
      </c>
      <c r="N357">
        <v>1</v>
      </c>
      <c r="O357" t="s">
        <v>21</v>
      </c>
    </row>
    <row r="358" spans="1:15" x14ac:dyDescent="0.3">
      <c r="A358" t="s">
        <v>737</v>
      </c>
      <c r="B358" s="3">
        <v>45555</v>
      </c>
      <c r="C358" t="s">
        <v>42</v>
      </c>
      <c r="D358" t="s">
        <v>80</v>
      </c>
      <c r="E358" t="s">
        <v>87</v>
      </c>
      <c r="F358" t="s">
        <v>36</v>
      </c>
      <c r="G358">
        <v>3393.24</v>
      </c>
      <c r="H358">
        <v>3099.18</v>
      </c>
      <c r="I358">
        <v>294.06</v>
      </c>
      <c r="J358">
        <v>12</v>
      </c>
      <c r="K358">
        <v>2</v>
      </c>
      <c r="L358" t="s">
        <v>22</v>
      </c>
      <c r="M358" t="s">
        <v>115</v>
      </c>
      <c r="N358">
        <v>3</v>
      </c>
      <c r="O358" t="s">
        <v>56</v>
      </c>
    </row>
    <row r="359" spans="1:15" x14ac:dyDescent="0.3">
      <c r="A359" t="s">
        <v>739</v>
      </c>
      <c r="B359" s="3">
        <v>45368</v>
      </c>
      <c r="C359" t="s">
        <v>33</v>
      </c>
      <c r="D359" t="s">
        <v>93</v>
      </c>
      <c r="E359" t="s">
        <v>87</v>
      </c>
      <c r="F359" t="s">
        <v>44</v>
      </c>
      <c r="G359">
        <v>229.35</v>
      </c>
      <c r="H359">
        <v>171.79</v>
      </c>
      <c r="I359">
        <v>57.56</v>
      </c>
      <c r="K359">
        <v>4</v>
      </c>
      <c r="L359" t="s">
        <v>29</v>
      </c>
      <c r="M359" t="s">
        <v>76</v>
      </c>
      <c r="N359">
        <v>1</v>
      </c>
      <c r="O359" t="s">
        <v>21</v>
      </c>
    </row>
    <row r="360" spans="1:15" x14ac:dyDescent="0.3">
      <c r="A360" t="s">
        <v>741</v>
      </c>
      <c r="B360" s="3">
        <v>45608</v>
      </c>
      <c r="C360" t="s">
        <v>33</v>
      </c>
      <c r="D360" t="s">
        <v>105</v>
      </c>
      <c r="E360" t="s">
        <v>27</v>
      </c>
      <c r="F360" t="s">
        <v>73</v>
      </c>
      <c r="G360">
        <v>1139.52</v>
      </c>
      <c r="H360">
        <v>696.94</v>
      </c>
      <c r="I360">
        <v>442.58</v>
      </c>
      <c r="J360">
        <v>3</v>
      </c>
      <c r="K360">
        <v>3</v>
      </c>
      <c r="L360" t="s">
        <v>22</v>
      </c>
      <c r="M360" t="s">
        <v>111</v>
      </c>
      <c r="N360">
        <v>4</v>
      </c>
      <c r="O360" t="s">
        <v>56</v>
      </c>
    </row>
    <row r="361" spans="1:15" x14ac:dyDescent="0.3">
      <c r="A361" t="s">
        <v>743</v>
      </c>
      <c r="B361" s="3">
        <v>45417</v>
      </c>
      <c r="C361" t="s">
        <v>59</v>
      </c>
      <c r="D361" t="s">
        <v>116</v>
      </c>
      <c r="E361" t="s">
        <v>27</v>
      </c>
      <c r="F361" t="s">
        <v>73</v>
      </c>
      <c r="G361">
        <v>2368.63</v>
      </c>
      <c r="H361">
        <v>1493.21</v>
      </c>
      <c r="I361">
        <v>875.42</v>
      </c>
      <c r="K361">
        <v>1</v>
      </c>
      <c r="L361" t="s">
        <v>22</v>
      </c>
      <c r="M361" t="s">
        <v>104</v>
      </c>
      <c r="N361">
        <v>2</v>
      </c>
      <c r="O361" t="s">
        <v>21</v>
      </c>
    </row>
    <row r="362" spans="1:15" x14ac:dyDescent="0.3">
      <c r="A362" t="s">
        <v>744</v>
      </c>
      <c r="B362" s="3">
        <v>45498</v>
      </c>
      <c r="C362" t="s">
        <v>17</v>
      </c>
      <c r="D362" t="s">
        <v>51</v>
      </c>
      <c r="E362" t="s">
        <v>40</v>
      </c>
      <c r="F362" t="s">
        <v>36</v>
      </c>
      <c r="G362">
        <v>467.07</v>
      </c>
      <c r="H362">
        <v>332.3</v>
      </c>
      <c r="I362">
        <v>134.77000000000001</v>
      </c>
      <c r="K362">
        <v>1</v>
      </c>
      <c r="L362" t="s">
        <v>22</v>
      </c>
      <c r="M362" t="s">
        <v>54</v>
      </c>
      <c r="N362">
        <v>3</v>
      </c>
      <c r="O362" t="s">
        <v>21</v>
      </c>
    </row>
    <row r="363" spans="1:15" x14ac:dyDescent="0.3">
      <c r="A363" t="s">
        <v>745</v>
      </c>
      <c r="B363" s="3">
        <v>45382</v>
      </c>
      <c r="C363" t="s">
        <v>7</v>
      </c>
      <c r="D363" t="s">
        <v>182</v>
      </c>
      <c r="E363" t="s">
        <v>19</v>
      </c>
      <c r="F363" t="s">
        <v>28</v>
      </c>
      <c r="G363">
        <v>2041.34</v>
      </c>
      <c r="H363">
        <v>1188.03</v>
      </c>
      <c r="I363">
        <v>853.31</v>
      </c>
      <c r="J363">
        <v>1</v>
      </c>
      <c r="K363">
        <v>1</v>
      </c>
      <c r="L363" t="s">
        <v>22</v>
      </c>
      <c r="M363" t="s">
        <v>76</v>
      </c>
      <c r="N363">
        <v>1</v>
      </c>
      <c r="O363" t="s">
        <v>56</v>
      </c>
    </row>
    <row r="364" spans="1:15" x14ac:dyDescent="0.3">
      <c r="A364" t="s">
        <v>747</v>
      </c>
      <c r="B364" s="3">
        <v>45320</v>
      </c>
      <c r="C364" t="s">
        <v>33</v>
      </c>
      <c r="D364" t="s">
        <v>171</v>
      </c>
      <c r="E364" t="s">
        <v>40</v>
      </c>
      <c r="F364" t="s">
        <v>36</v>
      </c>
      <c r="G364">
        <v>3238.27</v>
      </c>
      <c r="H364">
        <v>2051.7600000000002</v>
      </c>
      <c r="I364">
        <v>1186.51</v>
      </c>
      <c r="K364">
        <v>5</v>
      </c>
      <c r="L364" t="s">
        <v>29</v>
      </c>
      <c r="M364" t="s">
        <v>25</v>
      </c>
      <c r="N364">
        <v>1</v>
      </c>
      <c r="O364" t="s">
        <v>21</v>
      </c>
    </row>
    <row r="365" spans="1:15" x14ac:dyDescent="0.3">
      <c r="A365" t="s">
        <v>750</v>
      </c>
      <c r="B365" s="3">
        <v>45441</v>
      </c>
      <c r="C365" t="s">
        <v>33</v>
      </c>
      <c r="D365" t="s">
        <v>93</v>
      </c>
      <c r="E365" t="s">
        <v>84</v>
      </c>
      <c r="F365" t="s">
        <v>36</v>
      </c>
      <c r="G365">
        <v>906.58</v>
      </c>
      <c r="H365">
        <v>588.6</v>
      </c>
      <c r="I365">
        <v>317.98</v>
      </c>
      <c r="K365">
        <v>5</v>
      </c>
      <c r="L365" t="s">
        <v>22</v>
      </c>
      <c r="M365" t="s">
        <v>104</v>
      </c>
      <c r="N365">
        <v>2</v>
      </c>
      <c r="O365" t="s">
        <v>56</v>
      </c>
    </row>
    <row r="366" spans="1:15" x14ac:dyDescent="0.3">
      <c r="A366" t="s">
        <v>752</v>
      </c>
      <c r="B366" s="3">
        <v>45484</v>
      </c>
      <c r="C366" t="s">
        <v>7</v>
      </c>
      <c r="D366" t="s">
        <v>1698</v>
      </c>
      <c r="E366" t="s">
        <v>19</v>
      </c>
      <c r="F366" t="s">
        <v>36</v>
      </c>
      <c r="G366">
        <v>4076.22</v>
      </c>
      <c r="H366">
        <v>2441.33</v>
      </c>
      <c r="I366">
        <v>1634.89</v>
      </c>
      <c r="J366">
        <v>8</v>
      </c>
      <c r="K366">
        <v>2</v>
      </c>
      <c r="L366" t="s">
        <v>22</v>
      </c>
      <c r="M366" t="s">
        <v>54</v>
      </c>
      <c r="N366">
        <v>3</v>
      </c>
      <c r="O366" t="s">
        <v>56</v>
      </c>
    </row>
    <row r="367" spans="1:15" x14ac:dyDescent="0.3">
      <c r="A367" t="s">
        <v>754</v>
      </c>
      <c r="B367" s="3">
        <v>45383</v>
      </c>
      <c r="C367" t="s">
        <v>42</v>
      </c>
      <c r="D367" t="s">
        <v>162</v>
      </c>
      <c r="E367" t="s">
        <v>19</v>
      </c>
      <c r="F367" t="s">
        <v>28</v>
      </c>
      <c r="G367">
        <v>806.12</v>
      </c>
      <c r="H367">
        <v>601.36</v>
      </c>
      <c r="I367">
        <v>204.76</v>
      </c>
      <c r="J367">
        <v>11</v>
      </c>
      <c r="K367">
        <v>3</v>
      </c>
      <c r="L367" t="s">
        <v>29</v>
      </c>
      <c r="M367" t="s">
        <v>16</v>
      </c>
      <c r="N367">
        <v>2</v>
      </c>
      <c r="O367" t="s">
        <v>56</v>
      </c>
    </row>
    <row r="368" spans="1:15" x14ac:dyDescent="0.3">
      <c r="A368" t="s">
        <v>756</v>
      </c>
      <c r="B368" s="3">
        <v>45606</v>
      </c>
      <c r="C368" t="s">
        <v>33</v>
      </c>
      <c r="D368" t="s">
        <v>119</v>
      </c>
      <c r="E368" t="s">
        <v>35</v>
      </c>
      <c r="F368" t="s">
        <v>97</v>
      </c>
      <c r="G368">
        <v>717.77</v>
      </c>
      <c r="H368">
        <v>401.24</v>
      </c>
      <c r="I368">
        <v>316.52999999999997</v>
      </c>
      <c r="K368">
        <v>3</v>
      </c>
      <c r="L368" t="s">
        <v>29</v>
      </c>
      <c r="M368" t="s">
        <v>111</v>
      </c>
      <c r="N368">
        <v>4</v>
      </c>
      <c r="O368" t="s">
        <v>21</v>
      </c>
    </row>
    <row r="369" spans="1:15" x14ac:dyDescent="0.3">
      <c r="A369" t="s">
        <v>758</v>
      </c>
      <c r="B369" s="3">
        <v>45545</v>
      </c>
      <c r="C369" t="s">
        <v>7</v>
      </c>
      <c r="D369" t="s">
        <v>185</v>
      </c>
      <c r="E369" t="s">
        <v>87</v>
      </c>
      <c r="F369" t="s">
        <v>20</v>
      </c>
      <c r="G369">
        <v>721.92</v>
      </c>
      <c r="H369">
        <v>542.01</v>
      </c>
      <c r="I369">
        <v>179.91</v>
      </c>
      <c r="J369">
        <v>7</v>
      </c>
      <c r="K369">
        <v>2</v>
      </c>
      <c r="L369" t="s">
        <v>22</v>
      </c>
      <c r="M369" t="s">
        <v>115</v>
      </c>
      <c r="N369">
        <v>3</v>
      </c>
      <c r="O369" t="s">
        <v>56</v>
      </c>
    </row>
    <row r="370" spans="1:15" x14ac:dyDescent="0.3">
      <c r="A370" t="s">
        <v>759</v>
      </c>
      <c r="B370" s="3">
        <v>45487</v>
      </c>
      <c r="C370" t="s">
        <v>7</v>
      </c>
      <c r="D370" t="s">
        <v>182</v>
      </c>
      <c r="E370" t="s">
        <v>35</v>
      </c>
      <c r="F370" t="s">
        <v>36</v>
      </c>
      <c r="G370">
        <v>945.45</v>
      </c>
      <c r="H370">
        <v>567.25</v>
      </c>
      <c r="I370">
        <v>378.2</v>
      </c>
      <c r="K370">
        <v>3</v>
      </c>
      <c r="L370" t="s">
        <v>29</v>
      </c>
      <c r="M370" t="s">
        <v>54</v>
      </c>
      <c r="N370">
        <v>3</v>
      </c>
      <c r="O370" t="s">
        <v>21</v>
      </c>
    </row>
    <row r="371" spans="1:15" x14ac:dyDescent="0.3">
      <c r="A371" t="s">
        <v>761</v>
      </c>
      <c r="B371" s="3">
        <v>45309</v>
      </c>
      <c r="C371" t="s">
        <v>7</v>
      </c>
      <c r="D371" t="s">
        <v>134</v>
      </c>
      <c r="E371" t="s">
        <v>40</v>
      </c>
      <c r="F371" t="s">
        <v>36</v>
      </c>
      <c r="G371">
        <v>3359.63</v>
      </c>
      <c r="H371">
        <v>2060.35</v>
      </c>
      <c r="I371">
        <v>1299.28</v>
      </c>
      <c r="K371">
        <v>5</v>
      </c>
      <c r="L371" t="s">
        <v>22</v>
      </c>
      <c r="M371" t="s">
        <v>25</v>
      </c>
      <c r="N371">
        <v>1</v>
      </c>
      <c r="O371" t="s">
        <v>21</v>
      </c>
    </row>
    <row r="372" spans="1:15" x14ac:dyDescent="0.3">
      <c r="A372" t="s">
        <v>762</v>
      </c>
      <c r="B372" s="3">
        <v>45323</v>
      </c>
      <c r="C372" t="s">
        <v>42</v>
      </c>
      <c r="D372" t="s">
        <v>214</v>
      </c>
      <c r="E372" t="s">
        <v>84</v>
      </c>
      <c r="F372" t="s">
        <v>73</v>
      </c>
      <c r="G372">
        <v>1858.04</v>
      </c>
      <c r="H372">
        <v>1563.82</v>
      </c>
      <c r="I372">
        <v>294.22000000000003</v>
      </c>
      <c r="J372">
        <v>11</v>
      </c>
      <c r="K372">
        <v>2</v>
      </c>
      <c r="L372" t="s">
        <v>22</v>
      </c>
      <c r="M372" t="s">
        <v>124</v>
      </c>
      <c r="N372">
        <v>1</v>
      </c>
      <c r="O372" t="s">
        <v>56</v>
      </c>
    </row>
    <row r="373" spans="1:15" x14ac:dyDescent="0.3">
      <c r="A373" t="s">
        <v>764</v>
      </c>
      <c r="B373" s="3">
        <v>45477</v>
      </c>
      <c r="C373" t="s">
        <v>17</v>
      </c>
      <c r="D373" t="s">
        <v>96</v>
      </c>
      <c r="E373" t="s">
        <v>19</v>
      </c>
      <c r="F373" t="s">
        <v>28</v>
      </c>
      <c r="G373">
        <v>476.97</v>
      </c>
      <c r="H373">
        <v>373.44</v>
      </c>
      <c r="I373">
        <v>103.53</v>
      </c>
      <c r="K373">
        <v>5</v>
      </c>
      <c r="L373" t="s">
        <v>29</v>
      </c>
      <c r="M373" t="s">
        <v>54</v>
      </c>
      <c r="N373">
        <v>3</v>
      </c>
      <c r="O373" t="s">
        <v>21</v>
      </c>
    </row>
    <row r="374" spans="1:15" x14ac:dyDescent="0.3">
      <c r="A374" t="s">
        <v>765</v>
      </c>
      <c r="B374" s="3">
        <v>45494</v>
      </c>
      <c r="C374" t="s">
        <v>17</v>
      </c>
      <c r="D374" t="s">
        <v>100</v>
      </c>
      <c r="E374" t="s">
        <v>40</v>
      </c>
      <c r="F374" t="s">
        <v>36</v>
      </c>
      <c r="G374">
        <v>1627.67</v>
      </c>
      <c r="H374">
        <v>1168.03</v>
      </c>
      <c r="I374">
        <v>459.64</v>
      </c>
      <c r="K374">
        <v>5</v>
      </c>
      <c r="L374" t="s">
        <v>22</v>
      </c>
      <c r="M374" t="s">
        <v>54</v>
      </c>
      <c r="N374">
        <v>3</v>
      </c>
      <c r="O374" t="s">
        <v>21</v>
      </c>
    </row>
    <row r="375" spans="1:15" x14ac:dyDescent="0.3">
      <c r="A375" t="s">
        <v>766</v>
      </c>
      <c r="B375" s="3">
        <v>45378</v>
      </c>
      <c r="C375" t="s">
        <v>33</v>
      </c>
      <c r="D375" t="s">
        <v>93</v>
      </c>
      <c r="E375" t="s">
        <v>19</v>
      </c>
      <c r="F375" t="s">
        <v>28</v>
      </c>
      <c r="G375">
        <v>615.11</v>
      </c>
      <c r="H375">
        <v>384.62</v>
      </c>
      <c r="I375">
        <v>230.49</v>
      </c>
      <c r="J375">
        <v>5</v>
      </c>
      <c r="K375">
        <v>2</v>
      </c>
      <c r="L375" t="s">
        <v>22</v>
      </c>
      <c r="M375" t="s">
        <v>76</v>
      </c>
      <c r="N375">
        <v>1</v>
      </c>
      <c r="O375" t="s">
        <v>56</v>
      </c>
    </row>
    <row r="376" spans="1:15" x14ac:dyDescent="0.3">
      <c r="A376" t="s">
        <v>768</v>
      </c>
      <c r="B376" s="3">
        <v>45390</v>
      </c>
      <c r="C376" t="s">
        <v>42</v>
      </c>
      <c r="D376" t="s">
        <v>262</v>
      </c>
      <c r="E376" t="s">
        <v>35</v>
      </c>
      <c r="F376" t="s">
        <v>44</v>
      </c>
      <c r="G376">
        <v>2859.53</v>
      </c>
      <c r="H376">
        <v>2209.6999999999998</v>
      </c>
      <c r="I376">
        <v>649.83000000000004</v>
      </c>
      <c r="K376">
        <v>1</v>
      </c>
      <c r="L376" t="s">
        <v>29</v>
      </c>
      <c r="M376" t="s">
        <v>16</v>
      </c>
      <c r="N376">
        <v>2</v>
      </c>
      <c r="O376" t="s">
        <v>21</v>
      </c>
    </row>
    <row r="377" spans="1:15" x14ac:dyDescent="0.3">
      <c r="A377" t="s">
        <v>769</v>
      </c>
      <c r="B377" s="3">
        <v>45596</v>
      </c>
      <c r="C377" t="s">
        <v>7</v>
      </c>
      <c r="D377" t="s">
        <v>131</v>
      </c>
      <c r="E377" t="s">
        <v>19</v>
      </c>
      <c r="F377" t="s">
        <v>44</v>
      </c>
      <c r="G377">
        <v>387.89</v>
      </c>
      <c r="H377">
        <v>299.52</v>
      </c>
      <c r="I377">
        <v>88.37</v>
      </c>
      <c r="K377">
        <v>3</v>
      </c>
      <c r="L377" t="s">
        <v>22</v>
      </c>
      <c r="M377" t="s">
        <v>68</v>
      </c>
      <c r="N377">
        <v>4</v>
      </c>
      <c r="O377" t="s">
        <v>21</v>
      </c>
    </row>
    <row r="378" spans="1:15" x14ac:dyDescent="0.3">
      <c r="A378" t="s">
        <v>771</v>
      </c>
      <c r="B378" s="3">
        <v>45643</v>
      </c>
      <c r="C378" t="s">
        <v>33</v>
      </c>
      <c r="D378" t="s">
        <v>171</v>
      </c>
      <c r="E378" t="s">
        <v>40</v>
      </c>
      <c r="F378" t="s">
        <v>36</v>
      </c>
      <c r="G378">
        <v>2785.26</v>
      </c>
      <c r="H378">
        <v>1634.88</v>
      </c>
      <c r="I378">
        <v>1150.3800000000001</v>
      </c>
      <c r="K378">
        <v>3</v>
      </c>
      <c r="L378" t="s">
        <v>22</v>
      </c>
      <c r="M378" t="s">
        <v>179</v>
      </c>
      <c r="N378">
        <v>4</v>
      </c>
      <c r="O378" t="s">
        <v>21</v>
      </c>
    </row>
    <row r="379" spans="1:15" x14ac:dyDescent="0.3">
      <c r="A379" t="s">
        <v>773</v>
      </c>
      <c r="B379" s="3">
        <v>45366</v>
      </c>
      <c r="C379" t="s">
        <v>42</v>
      </c>
      <c r="D379" t="s">
        <v>162</v>
      </c>
      <c r="E379" t="s">
        <v>35</v>
      </c>
      <c r="F379" t="s">
        <v>36</v>
      </c>
      <c r="G379">
        <v>3458.22</v>
      </c>
      <c r="H379">
        <v>2831.75</v>
      </c>
      <c r="I379">
        <v>626.47</v>
      </c>
      <c r="J379">
        <v>8</v>
      </c>
      <c r="K379">
        <v>4</v>
      </c>
      <c r="L379" t="s">
        <v>29</v>
      </c>
      <c r="M379" t="s">
        <v>76</v>
      </c>
      <c r="N379">
        <v>1</v>
      </c>
      <c r="O379" t="s">
        <v>56</v>
      </c>
    </row>
    <row r="380" spans="1:15" x14ac:dyDescent="0.3">
      <c r="A380" t="s">
        <v>775</v>
      </c>
      <c r="B380" s="3">
        <v>45314</v>
      </c>
      <c r="C380" t="s">
        <v>59</v>
      </c>
      <c r="D380" t="s">
        <v>308</v>
      </c>
      <c r="E380" t="s">
        <v>27</v>
      </c>
      <c r="F380" t="s">
        <v>44</v>
      </c>
      <c r="G380">
        <v>375.56</v>
      </c>
      <c r="H380">
        <v>227.08</v>
      </c>
      <c r="I380">
        <v>148.47999999999999</v>
      </c>
      <c r="K380">
        <v>5</v>
      </c>
      <c r="L380" t="s">
        <v>22</v>
      </c>
      <c r="M380" t="s">
        <v>25</v>
      </c>
      <c r="N380">
        <v>1</v>
      </c>
      <c r="O380" t="s">
        <v>21</v>
      </c>
    </row>
    <row r="381" spans="1:15" x14ac:dyDescent="0.3">
      <c r="A381" t="s">
        <v>777</v>
      </c>
      <c r="B381" s="3">
        <v>45620</v>
      </c>
      <c r="C381" t="s">
        <v>7</v>
      </c>
      <c r="D381" t="s">
        <v>69</v>
      </c>
      <c r="E381" t="s">
        <v>84</v>
      </c>
      <c r="F381" t="s">
        <v>36</v>
      </c>
      <c r="G381">
        <v>1152.78</v>
      </c>
      <c r="H381">
        <v>859.19</v>
      </c>
      <c r="I381">
        <v>293.58999999999997</v>
      </c>
      <c r="K381">
        <v>5</v>
      </c>
      <c r="L381" t="s">
        <v>22</v>
      </c>
      <c r="M381" t="s">
        <v>111</v>
      </c>
      <c r="N381">
        <v>4</v>
      </c>
      <c r="O381" t="s">
        <v>21</v>
      </c>
    </row>
    <row r="382" spans="1:15" x14ac:dyDescent="0.3">
      <c r="A382" t="s">
        <v>779</v>
      </c>
      <c r="B382" s="3">
        <v>45314</v>
      </c>
      <c r="C382" t="s">
        <v>42</v>
      </c>
      <c r="D382" t="s">
        <v>162</v>
      </c>
      <c r="E382" t="s">
        <v>40</v>
      </c>
      <c r="F382" t="s">
        <v>44</v>
      </c>
      <c r="G382">
        <v>2723.67</v>
      </c>
      <c r="H382">
        <v>2453.1999999999998</v>
      </c>
      <c r="I382">
        <v>270.47000000000003</v>
      </c>
      <c r="J382">
        <v>6</v>
      </c>
      <c r="K382">
        <v>2</v>
      </c>
      <c r="L382" t="s">
        <v>22</v>
      </c>
      <c r="M382" t="s">
        <v>25</v>
      </c>
      <c r="N382">
        <v>1</v>
      </c>
      <c r="O382" t="s">
        <v>56</v>
      </c>
    </row>
    <row r="383" spans="1:15" x14ac:dyDescent="0.3">
      <c r="A383" t="s">
        <v>781</v>
      </c>
      <c r="B383" s="3">
        <v>45379</v>
      </c>
      <c r="C383" t="s">
        <v>33</v>
      </c>
      <c r="D383" t="s">
        <v>34</v>
      </c>
      <c r="E383" t="s">
        <v>40</v>
      </c>
      <c r="F383" t="s">
        <v>36</v>
      </c>
      <c r="G383">
        <v>224.09</v>
      </c>
      <c r="H383">
        <v>148.37</v>
      </c>
      <c r="I383">
        <v>75.72</v>
      </c>
      <c r="K383">
        <v>5</v>
      </c>
      <c r="L383" t="s">
        <v>29</v>
      </c>
      <c r="M383" t="s">
        <v>76</v>
      </c>
      <c r="N383">
        <v>1</v>
      </c>
      <c r="O383" t="s">
        <v>21</v>
      </c>
    </row>
    <row r="384" spans="1:15" x14ac:dyDescent="0.3">
      <c r="A384" t="s">
        <v>783</v>
      </c>
      <c r="B384" s="3">
        <v>45470</v>
      </c>
      <c r="C384" t="s">
        <v>33</v>
      </c>
      <c r="D384" t="s">
        <v>119</v>
      </c>
      <c r="E384" t="s">
        <v>87</v>
      </c>
      <c r="F384" t="s">
        <v>44</v>
      </c>
      <c r="G384">
        <v>1165.71</v>
      </c>
      <c r="H384">
        <v>706.51</v>
      </c>
      <c r="I384">
        <v>459.2</v>
      </c>
      <c r="K384">
        <v>4</v>
      </c>
      <c r="L384" t="s">
        <v>22</v>
      </c>
      <c r="M384" t="s">
        <v>64</v>
      </c>
      <c r="N384">
        <v>2</v>
      </c>
      <c r="O384" t="s">
        <v>21</v>
      </c>
    </row>
    <row r="385" spans="1:15" x14ac:dyDescent="0.3">
      <c r="A385" t="s">
        <v>784</v>
      </c>
      <c r="B385" s="3">
        <v>45462</v>
      </c>
      <c r="C385" t="s">
        <v>33</v>
      </c>
      <c r="D385" t="s">
        <v>39</v>
      </c>
      <c r="E385" t="s">
        <v>19</v>
      </c>
      <c r="F385" t="s">
        <v>36</v>
      </c>
      <c r="G385">
        <v>3542.2</v>
      </c>
      <c r="H385">
        <v>2028.26</v>
      </c>
      <c r="I385">
        <v>1513.94</v>
      </c>
      <c r="K385">
        <v>3</v>
      </c>
      <c r="L385" t="s">
        <v>29</v>
      </c>
      <c r="M385" t="s">
        <v>64</v>
      </c>
      <c r="N385">
        <v>2</v>
      </c>
      <c r="O385" t="s">
        <v>21</v>
      </c>
    </row>
    <row r="386" spans="1:15" x14ac:dyDescent="0.3">
      <c r="A386" t="s">
        <v>786</v>
      </c>
      <c r="B386" s="3">
        <v>45632</v>
      </c>
      <c r="C386" t="s">
        <v>33</v>
      </c>
      <c r="D386" t="s">
        <v>1698</v>
      </c>
      <c r="E386" t="s">
        <v>84</v>
      </c>
      <c r="F386" t="s">
        <v>558</v>
      </c>
      <c r="G386">
        <v>694.73</v>
      </c>
      <c r="H386">
        <v>466.65</v>
      </c>
      <c r="I386">
        <v>228.08</v>
      </c>
      <c r="K386">
        <v>3</v>
      </c>
      <c r="L386" t="s">
        <v>22</v>
      </c>
      <c r="M386" t="s">
        <v>179</v>
      </c>
      <c r="N386">
        <v>4</v>
      </c>
      <c r="O386" t="s">
        <v>56</v>
      </c>
    </row>
    <row r="387" spans="1:15" x14ac:dyDescent="0.3">
      <c r="A387" t="s">
        <v>788</v>
      </c>
      <c r="B387" s="3">
        <v>45565</v>
      </c>
      <c r="C387" t="s">
        <v>17</v>
      </c>
      <c r="D387" t="s">
        <v>26</v>
      </c>
      <c r="E387" t="s">
        <v>35</v>
      </c>
      <c r="F387" t="s">
        <v>20</v>
      </c>
      <c r="G387">
        <v>1160.23</v>
      </c>
      <c r="H387">
        <v>905.11</v>
      </c>
      <c r="I387">
        <v>255.12</v>
      </c>
      <c r="L387" t="s">
        <v>22</v>
      </c>
      <c r="M387" t="s">
        <v>115</v>
      </c>
      <c r="N387">
        <v>3</v>
      </c>
      <c r="O387" t="s">
        <v>21</v>
      </c>
    </row>
    <row r="388" spans="1:15" x14ac:dyDescent="0.3">
      <c r="A388" t="s">
        <v>790</v>
      </c>
      <c r="B388" s="3">
        <v>45439</v>
      </c>
      <c r="C388" t="s">
        <v>17</v>
      </c>
      <c r="D388" t="s">
        <v>469</v>
      </c>
      <c r="E388" t="s">
        <v>87</v>
      </c>
      <c r="F388" t="s">
        <v>44</v>
      </c>
      <c r="G388">
        <v>1547.48</v>
      </c>
      <c r="H388">
        <v>1041.4100000000001</v>
      </c>
      <c r="I388">
        <v>506.07</v>
      </c>
      <c r="J388">
        <v>8</v>
      </c>
      <c r="K388">
        <v>5</v>
      </c>
      <c r="L388" t="s">
        <v>29</v>
      </c>
      <c r="M388" t="s">
        <v>104</v>
      </c>
      <c r="N388">
        <v>2</v>
      </c>
      <c r="O388" t="s">
        <v>56</v>
      </c>
    </row>
    <row r="389" spans="1:15" x14ac:dyDescent="0.3">
      <c r="A389" t="s">
        <v>792</v>
      </c>
      <c r="B389" s="3">
        <v>45599</v>
      </c>
      <c r="C389" t="s">
        <v>42</v>
      </c>
      <c r="D389" t="s">
        <v>77</v>
      </c>
      <c r="E389" t="s">
        <v>84</v>
      </c>
      <c r="F389" t="s">
        <v>44</v>
      </c>
      <c r="G389">
        <v>2743.59</v>
      </c>
      <c r="H389">
        <v>1958.18</v>
      </c>
      <c r="I389">
        <v>785.41</v>
      </c>
      <c r="K389">
        <v>3</v>
      </c>
      <c r="L389" t="s">
        <v>29</v>
      </c>
      <c r="M389" t="s">
        <v>111</v>
      </c>
      <c r="N389">
        <v>4</v>
      </c>
      <c r="O389" t="s">
        <v>21</v>
      </c>
    </row>
    <row r="390" spans="1:15" x14ac:dyDescent="0.3">
      <c r="A390" t="s">
        <v>794</v>
      </c>
      <c r="B390" s="3">
        <v>45657</v>
      </c>
      <c r="C390" t="s">
        <v>33</v>
      </c>
      <c r="D390" t="s">
        <v>93</v>
      </c>
      <c r="E390" t="s">
        <v>19</v>
      </c>
      <c r="F390" t="s">
        <v>73</v>
      </c>
      <c r="G390">
        <v>894.92</v>
      </c>
      <c r="H390">
        <v>611.82000000000005</v>
      </c>
      <c r="I390">
        <v>283.10000000000002</v>
      </c>
      <c r="K390">
        <v>4</v>
      </c>
      <c r="L390" t="s">
        <v>22</v>
      </c>
      <c r="M390" t="s">
        <v>179</v>
      </c>
      <c r="N390">
        <v>4</v>
      </c>
      <c r="O390" t="s">
        <v>21</v>
      </c>
    </row>
    <row r="391" spans="1:15" x14ac:dyDescent="0.3">
      <c r="A391" t="s">
        <v>795</v>
      </c>
      <c r="B391" s="3">
        <v>45639</v>
      </c>
      <c r="C391" t="s">
        <v>42</v>
      </c>
      <c r="D391" t="s">
        <v>262</v>
      </c>
      <c r="E391" t="s">
        <v>19</v>
      </c>
      <c r="F391" t="s">
        <v>36</v>
      </c>
      <c r="G391">
        <v>1786.36</v>
      </c>
      <c r="H391">
        <v>1420.42</v>
      </c>
      <c r="I391">
        <v>365.94</v>
      </c>
      <c r="K391">
        <v>4</v>
      </c>
      <c r="L391" t="s">
        <v>29</v>
      </c>
      <c r="M391" t="s">
        <v>179</v>
      </c>
      <c r="N391">
        <v>4</v>
      </c>
      <c r="O391" t="s">
        <v>21</v>
      </c>
    </row>
    <row r="392" spans="1:15" x14ac:dyDescent="0.3">
      <c r="A392" t="s">
        <v>797</v>
      </c>
      <c r="B392" s="3">
        <v>45345</v>
      </c>
      <c r="C392" t="s">
        <v>59</v>
      </c>
      <c r="D392" t="s">
        <v>194</v>
      </c>
      <c r="E392" t="s">
        <v>84</v>
      </c>
      <c r="F392" t="s">
        <v>36</v>
      </c>
      <c r="G392">
        <v>2442.46</v>
      </c>
      <c r="H392">
        <v>1346.96</v>
      </c>
      <c r="I392">
        <v>1095.5</v>
      </c>
      <c r="K392">
        <v>5</v>
      </c>
      <c r="L392" t="s">
        <v>29</v>
      </c>
      <c r="M392" t="s">
        <v>124</v>
      </c>
      <c r="N392">
        <v>1</v>
      </c>
      <c r="O392" t="s">
        <v>21</v>
      </c>
    </row>
    <row r="393" spans="1:15" x14ac:dyDescent="0.3">
      <c r="A393" t="s">
        <v>798</v>
      </c>
      <c r="B393" s="3">
        <v>45399</v>
      </c>
      <c r="C393" t="s">
        <v>42</v>
      </c>
      <c r="D393" t="s">
        <v>262</v>
      </c>
      <c r="E393" t="s">
        <v>40</v>
      </c>
      <c r="F393" t="s">
        <v>36</v>
      </c>
      <c r="G393">
        <v>1739.37</v>
      </c>
      <c r="H393">
        <v>1414.95</v>
      </c>
      <c r="I393">
        <v>324.42</v>
      </c>
      <c r="K393">
        <v>5</v>
      </c>
      <c r="L393" t="s">
        <v>29</v>
      </c>
      <c r="M393" t="s">
        <v>16</v>
      </c>
      <c r="N393">
        <v>2</v>
      </c>
      <c r="O393" t="s">
        <v>21</v>
      </c>
    </row>
    <row r="394" spans="1:15" x14ac:dyDescent="0.3">
      <c r="A394" t="s">
        <v>800</v>
      </c>
      <c r="B394" s="3">
        <v>45628</v>
      </c>
      <c r="C394" t="s">
        <v>33</v>
      </c>
      <c r="D394" t="s">
        <v>105</v>
      </c>
      <c r="E394" t="s">
        <v>35</v>
      </c>
      <c r="F394" t="s">
        <v>44</v>
      </c>
      <c r="G394">
        <v>1367.04</v>
      </c>
      <c r="H394">
        <v>906.53</v>
      </c>
      <c r="I394">
        <v>460.51</v>
      </c>
      <c r="K394">
        <v>4</v>
      </c>
      <c r="L394" t="s">
        <v>22</v>
      </c>
      <c r="M394" t="s">
        <v>179</v>
      </c>
      <c r="N394">
        <v>4</v>
      </c>
      <c r="O394" t="s">
        <v>21</v>
      </c>
    </row>
    <row r="395" spans="1:15" x14ac:dyDescent="0.3">
      <c r="A395" t="s">
        <v>801</v>
      </c>
      <c r="B395" s="3">
        <v>45313</v>
      </c>
      <c r="C395" t="s">
        <v>17</v>
      </c>
      <c r="D395" t="s">
        <v>469</v>
      </c>
      <c r="E395" t="s">
        <v>19</v>
      </c>
      <c r="F395" t="s">
        <v>176</v>
      </c>
      <c r="G395">
        <v>1447.96</v>
      </c>
      <c r="H395">
        <v>835.01</v>
      </c>
      <c r="I395">
        <v>612.95000000000005</v>
      </c>
      <c r="K395">
        <v>5</v>
      </c>
      <c r="L395" t="s">
        <v>22</v>
      </c>
      <c r="M395" t="s">
        <v>25</v>
      </c>
      <c r="N395">
        <v>1</v>
      </c>
      <c r="O395" t="s">
        <v>21</v>
      </c>
    </row>
    <row r="396" spans="1:15" x14ac:dyDescent="0.3">
      <c r="A396" t="s">
        <v>803</v>
      </c>
      <c r="B396" s="3">
        <v>45549</v>
      </c>
      <c r="C396" t="s">
        <v>7</v>
      </c>
      <c r="D396" t="s">
        <v>185</v>
      </c>
      <c r="E396" t="s">
        <v>84</v>
      </c>
      <c r="F396" t="s">
        <v>20</v>
      </c>
      <c r="G396">
        <v>2893.82</v>
      </c>
      <c r="H396">
        <v>1681.85</v>
      </c>
      <c r="I396">
        <v>1211.97</v>
      </c>
      <c r="K396">
        <v>4</v>
      </c>
      <c r="L396" t="s">
        <v>22</v>
      </c>
      <c r="M396" t="s">
        <v>115</v>
      </c>
      <c r="N396">
        <v>3</v>
      </c>
      <c r="O396" t="s">
        <v>21</v>
      </c>
    </row>
    <row r="397" spans="1:15" x14ac:dyDescent="0.3">
      <c r="A397" t="s">
        <v>805</v>
      </c>
      <c r="B397" s="3">
        <v>45373</v>
      </c>
      <c r="C397" t="s">
        <v>59</v>
      </c>
      <c r="D397" t="s">
        <v>108</v>
      </c>
      <c r="E397" t="s">
        <v>84</v>
      </c>
      <c r="F397" t="s">
        <v>20</v>
      </c>
      <c r="G397">
        <v>2051.59</v>
      </c>
      <c r="H397">
        <v>1284.68</v>
      </c>
      <c r="I397">
        <v>766.91</v>
      </c>
      <c r="K397">
        <v>5</v>
      </c>
      <c r="L397" t="s">
        <v>29</v>
      </c>
      <c r="M397" t="s">
        <v>76</v>
      </c>
      <c r="N397">
        <v>1</v>
      </c>
      <c r="O397" t="s">
        <v>21</v>
      </c>
    </row>
    <row r="398" spans="1:15" x14ac:dyDescent="0.3">
      <c r="A398" t="s">
        <v>807</v>
      </c>
      <c r="B398" s="3">
        <v>45530</v>
      </c>
      <c r="C398" t="s">
        <v>42</v>
      </c>
      <c r="D398" t="s">
        <v>80</v>
      </c>
      <c r="E398" t="s">
        <v>87</v>
      </c>
      <c r="F398" t="s">
        <v>36</v>
      </c>
      <c r="G398">
        <v>2899.29</v>
      </c>
      <c r="H398">
        <v>2570.44</v>
      </c>
      <c r="I398">
        <v>328.85</v>
      </c>
      <c r="K398">
        <v>4</v>
      </c>
      <c r="L398" t="s">
        <v>22</v>
      </c>
      <c r="M398" t="s">
        <v>32</v>
      </c>
      <c r="N398">
        <v>3</v>
      </c>
      <c r="O398" t="s">
        <v>21</v>
      </c>
    </row>
    <row r="399" spans="1:15" x14ac:dyDescent="0.3">
      <c r="A399" t="s">
        <v>809</v>
      </c>
      <c r="B399" s="3">
        <v>45535</v>
      </c>
      <c r="C399" t="s">
        <v>42</v>
      </c>
      <c r="D399" t="s">
        <v>262</v>
      </c>
      <c r="E399" t="s">
        <v>35</v>
      </c>
      <c r="F399" t="s">
        <v>44</v>
      </c>
      <c r="G399">
        <v>477.04</v>
      </c>
      <c r="H399">
        <v>409.7</v>
      </c>
      <c r="I399">
        <v>67.34</v>
      </c>
      <c r="J399">
        <v>7</v>
      </c>
      <c r="K399">
        <v>3</v>
      </c>
      <c r="L399" t="s">
        <v>22</v>
      </c>
      <c r="M399" t="s">
        <v>32</v>
      </c>
      <c r="N399">
        <v>3</v>
      </c>
      <c r="O399" t="s">
        <v>56</v>
      </c>
    </row>
    <row r="400" spans="1:15" x14ac:dyDescent="0.3">
      <c r="A400" t="s">
        <v>811</v>
      </c>
      <c r="B400" s="3">
        <v>45339</v>
      </c>
      <c r="C400" t="s">
        <v>7</v>
      </c>
      <c r="D400" t="s">
        <v>182</v>
      </c>
      <c r="E400" t="s">
        <v>84</v>
      </c>
      <c r="F400" t="s">
        <v>44</v>
      </c>
      <c r="G400">
        <v>1019.86</v>
      </c>
      <c r="H400">
        <v>645.59</v>
      </c>
      <c r="I400">
        <v>374.27</v>
      </c>
      <c r="K400">
        <v>5</v>
      </c>
      <c r="L400" t="s">
        <v>22</v>
      </c>
      <c r="M400" t="s">
        <v>124</v>
      </c>
      <c r="N400">
        <v>1</v>
      </c>
      <c r="O400" t="s">
        <v>21</v>
      </c>
    </row>
    <row r="401" spans="1:15" x14ac:dyDescent="0.3">
      <c r="A401" t="s">
        <v>813</v>
      </c>
      <c r="B401" s="3">
        <v>45481</v>
      </c>
      <c r="C401" t="s">
        <v>59</v>
      </c>
      <c r="D401" t="s">
        <v>308</v>
      </c>
      <c r="E401" t="s">
        <v>87</v>
      </c>
      <c r="F401" t="s">
        <v>20</v>
      </c>
      <c r="G401">
        <v>1104.71</v>
      </c>
      <c r="H401">
        <v>728.61</v>
      </c>
      <c r="I401">
        <v>376.1</v>
      </c>
      <c r="K401">
        <v>5</v>
      </c>
      <c r="L401" t="s">
        <v>29</v>
      </c>
      <c r="M401" t="s">
        <v>54</v>
      </c>
      <c r="N401">
        <v>3</v>
      </c>
      <c r="O401" t="s">
        <v>21</v>
      </c>
    </row>
    <row r="402" spans="1:15" x14ac:dyDescent="0.3">
      <c r="A402" t="s">
        <v>814</v>
      </c>
      <c r="B402" s="3">
        <v>45445</v>
      </c>
      <c r="C402" t="s">
        <v>42</v>
      </c>
      <c r="D402" t="s">
        <v>43</v>
      </c>
      <c r="E402" t="s">
        <v>19</v>
      </c>
      <c r="F402" t="s">
        <v>36</v>
      </c>
      <c r="G402">
        <v>636.41999999999996</v>
      </c>
      <c r="H402">
        <v>574.01</v>
      </c>
      <c r="I402">
        <v>62.41</v>
      </c>
      <c r="K402">
        <v>3</v>
      </c>
      <c r="L402" t="s">
        <v>22</v>
      </c>
      <c r="M402" t="s">
        <v>64</v>
      </c>
      <c r="N402">
        <v>2</v>
      </c>
      <c r="O402" t="s">
        <v>21</v>
      </c>
    </row>
    <row r="403" spans="1:15" x14ac:dyDescent="0.3">
      <c r="A403" t="s">
        <v>815</v>
      </c>
      <c r="B403" s="3">
        <v>45652</v>
      </c>
      <c r="C403" t="s">
        <v>17</v>
      </c>
      <c r="D403" t="s">
        <v>18</v>
      </c>
      <c r="E403" t="s">
        <v>35</v>
      </c>
      <c r="F403" t="s">
        <v>20</v>
      </c>
      <c r="G403">
        <v>1788.07</v>
      </c>
      <c r="H403">
        <v>1159.02</v>
      </c>
      <c r="I403">
        <v>629.04999999999995</v>
      </c>
      <c r="K403">
        <v>3</v>
      </c>
      <c r="L403" t="s">
        <v>29</v>
      </c>
      <c r="M403" t="s">
        <v>179</v>
      </c>
      <c r="N403">
        <v>4</v>
      </c>
      <c r="O403" t="s">
        <v>21</v>
      </c>
    </row>
    <row r="404" spans="1:15" x14ac:dyDescent="0.3">
      <c r="A404" t="s">
        <v>817</v>
      </c>
      <c r="B404" s="3">
        <v>45565</v>
      </c>
      <c r="C404" t="s">
        <v>33</v>
      </c>
      <c r="D404" t="s">
        <v>1698</v>
      </c>
      <c r="E404" t="s">
        <v>84</v>
      </c>
      <c r="F404" t="s">
        <v>44</v>
      </c>
      <c r="G404">
        <v>3494.75</v>
      </c>
      <c r="H404">
        <v>2309.17</v>
      </c>
      <c r="I404">
        <v>1185.58</v>
      </c>
      <c r="K404">
        <v>5</v>
      </c>
      <c r="L404" t="s">
        <v>22</v>
      </c>
      <c r="M404" t="s">
        <v>115</v>
      </c>
      <c r="N404">
        <v>3</v>
      </c>
      <c r="O404" t="s">
        <v>21</v>
      </c>
    </row>
    <row r="405" spans="1:15" x14ac:dyDescent="0.3">
      <c r="A405" t="s">
        <v>819</v>
      </c>
      <c r="B405" s="3">
        <v>45397</v>
      </c>
      <c r="C405" t="s">
        <v>7</v>
      </c>
      <c r="D405" t="s">
        <v>55</v>
      </c>
      <c r="E405" t="s">
        <v>35</v>
      </c>
      <c r="F405" t="s">
        <v>28</v>
      </c>
      <c r="G405">
        <v>3104.05</v>
      </c>
      <c r="H405">
        <v>2088.65</v>
      </c>
      <c r="I405">
        <v>1015.4</v>
      </c>
      <c r="K405">
        <v>5</v>
      </c>
      <c r="L405" t="s">
        <v>22</v>
      </c>
      <c r="M405" t="s">
        <v>16</v>
      </c>
      <c r="N405">
        <v>2</v>
      </c>
      <c r="O405" t="s">
        <v>21</v>
      </c>
    </row>
    <row r="406" spans="1:15" x14ac:dyDescent="0.3">
      <c r="A406" t="s">
        <v>821</v>
      </c>
      <c r="B406" s="3">
        <v>45442</v>
      </c>
      <c r="C406" t="s">
        <v>7</v>
      </c>
      <c r="D406" t="s">
        <v>128</v>
      </c>
      <c r="E406" t="s">
        <v>84</v>
      </c>
      <c r="F406" t="s">
        <v>20</v>
      </c>
      <c r="G406">
        <v>2972.72</v>
      </c>
      <c r="H406">
        <v>2016.09</v>
      </c>
      <c r="I406">
        <v>956.63</v>
      </c>
      <c r="K406">
        <v>3</v>
      </c>
      <c r="L406" t="s">
        <v>29</v>
      </c>
      <c r="M406" t="s">
        <v>104</v>
      </c>
      <c r="N406">
        <v>2</v>
      </c>
      <c r="O406" t="s">
        <v>21</v>
      </c>
    </row>
    <row r="407" spans="1:15" x14ac:dyDescent="0.3">
      <c r="A407" t="s">
        <v>822</v>
      </c>
      <c r="B407" s="3">
        <v>45460</v>
      </c>
      <c r="C407" t="s">
        <v>59</v>
      </c>
      <c r="D407" t="s">
        <v>301</v>
      </c>
      <c r="E407" t="s">
        <v>84</v>
      </c>
      <c r="F407" t="s">
        <v>44</v>
      </c>
      <c r="G407">
        <v>1555.81</v>
      </c>
      <c r="H407">
        <v>1180.98</v>
      </c>
      <c r="I407">
        <v>374.83</v>
      </c>
      <c r="J407">
        <v>8</v>
      </c>
      <c r="K407">
        <v>2</v>
      </c>
      <c r="L407" t="s">
        <v>22</v>
      </c>
      <c r="M407" t="s">
        <v>64</v>
      </c>
      <c r="N407">
        <v>2</v>
      </c>
      <c r="O407" t="s">
        <v>56</v>
      </c>
    </row>
    <row r="408" spans="1:15" x14ac:dyDescent="0.3">
      <c r="A408" t="s">
        <v>824</v>
      </c>
      <c r="B408" s="3">
        <v>45501</v>
      </c>
      <c r="C408" t="s">
        <v>17</v>
      </c>
      <c r="D408" t="s">
        <v>469</v>
      </c>
      <c r="E408" t="s">
        <v>19</v>
      </c>
      <c r="F408" t="s">
        <v>28</v>
      </c>
      <c r="G408">
        <v>508.32</v>
      </c>
      <c r="H408">
        <v>357.2</v>
      </c>
      <c r="I408">
        <v>151.12</v>
      </c>
      <c r="J408">
        <v>4</v>
      </c>
      <c r="K408">
        <v>2</v>
      </c>
      <c r="L408" t="s">
        <v>22</v>
      </c>
      <c r="M408" t="s">
        <v>54</v>
      </c>
      <c r="N408">
        <v>3</v>
      </c>
      <c r="O408" t="s">
        <v>56</v>
      </c>
    </row>
    <row r="409" spans="1:15" x14ac:dyDescent="0.3">
      <c r="A409" t="s">
        <v>825</v>
      </c>
      <c r="B409" s="3">
        <v>45608</v>
      </c>
      <c r="C409" t="s">
        <v>17</v>
      </c>
      <c r="D409" t="s">
        <v>100</v>
      </c>
      <c r="E409" t="s">
        <v>87</v>
      </c>
      <c r="F409" t="s">
        <v>558</v>
      </c>
      <c r="G409">
        <v>1522.43</v>
      </c>
      <c r="H409">
        <v>1051.1099999999999</v>
      </c>
      <c r="I409">
        <v>471.32</v>
      </c>
      <c r="K409">
        <v>5</v>
      </c>
      <c r="L409" t="s">
        <v>22</v>
      </c>
      <c r="M409" t="s">
        <v>111</v>
      </c>
      <c r="N409">
        <v>4</v>
      </c>
      <c r="O409" t="s">
        <v>21</v>
      </c>
    </row>
    <row r="410" spans="1:15" x14ac:dyDescent="0.3">
      <c r="A410" t="s">
        <v>826</v>
      </c>
      <c r="B410" s="3">
        <v>45308</v>
      </c>
      <c r="C410" t="s">
        <v>17</v>
      </c>
      <c r="D410" t="s">
        <v>72</v>
      </c>
      <c r="E410" t="s">
        <v>87</v>
      </c>
      <c r="F410" t="s">
        <v>36</v>
      </c>
      <c r="G410">
        <v>2806.73</v>
      </c>
      <c r="H410">
        <v>1904</v>
      </c>
      <c r="I410">
        <v>902.73</v>
      </c>
      <c r="K410">
        <v>2</v>
      </c>
      <c r="L410" t="s">
        <v>22</v>
      </c>
      <c r="M410" t="s">
        <v>25</v>
      </c>
      <c r="N410">
        <v>1</v>
      </c>
      <c r="O410" t="s">
        <v>21</v>
      </c>
    </row>
    <row r="411" spans="1:15" x14ac:dyDescent="0.3">
      <c r="A411" t="s">
        <v>828</v>
      </c>
      <c r="B411" s="3">
        <v>45301</v>
      </c>
      <c r="C411" t="s">
        <v>59</v>
      </c>
      <c r="D411" t="s">
        <v>194</v>
      </c>
      <c r="E411" t="s">
        <v>35</v>
      </c>
      <c r="F411" t="s">
        <v>73</v>
      </c>
      <c r="G411">
        <v>3040.29</v>
      </c>
      <c r="H411">
        <v>1964.53</v>
      </c>
      <c r="I411">
        <v>1075.76</v>
      </c>
      <c r="J411">
        <v>8</v>
      </c>
      <c r="K411">
        <v>3</v>
      </c>
      <c r="L411" t="s">
        <v>29</v>
      </c>
      <c r="M411" t="s">
        <v>25</v>
      </c>
      <c r="N411">
        <v>1</v>
      </c>
      <c r="O411" t="s">
        <v>56</v>
      </c>
    </row>
    <row r="412" spans="1:15" x14ac:dyDescent="0.3">
      <c r="A412" t="s">
        <v>830</v>
      </c>
      <c r="B412" s="3">
        <v>45425</v>
      </c>
      <c r="C412" t="s">
        <v>7</v>
      </c>
      <c r="D412" t="s">
        <v>69</v>
      </c>
      <c r="E412" t="s">
        <v>40</v>
      </c>
      <c r="F412" t="s">
        <v>28</v>
      </c>
      <c r="G412">
        <v>1359.22</v>
      </c>
      <c r="H412">
        <v>937.98</v>
      </c>
      <c r="I412">
        <v>421.24</v>
      </c>
      <c r="K412">
        <v>4</v>
      </c>
      <c r="L412" t="s">
        <v>22</v>
      </c>
      <c r="M412" t="s">
        <v>104</v>
      </c>
      <c r="N412">
        <v>2</v>
      </c>
      <c r="O412" t="s">
        <v>21</v>
      </c>
    </row>
    <row r="413" spans="1:15" x14ac:dyDescent="0.3">
      <c r="A413" t="s">
        <v>831</v>
      </c>
      <c r="B413" s="3">
        <v>45642</v>
      </c>
      <c r="C413" t="s">
        <v>17</v>
      </c>
      <c r="D413" t="s">
        <v>100</v>
      </c>
      <c r="E413" t="s">
        <v>35</v>
      </c>
      <c r="F413" t="s">
        <v>44</v>
      </c>
      <c r="G413">
        <v>1280.8399999999999</v>
      </c>
      <c r="H413">
        <v>948.9</v>
      </c>
      <c r="I413">
        <v>331.94</v>
      </c>
      <c r="K413">
        <v>4</v>
      </c>
      <c r="L413" t="s">
        <v>29</v>
      </c>
      <c r="M413" t="s">
        <v>179</v>
      </c>
      <c r="N413">
        <v>4</v>
      </c>
      <c r="O413" t="s">
        <v>21</v>
      </c>
    </row>
    <row r="414" spans="1:15" x14ac:dyDescent="0.3">
      <c r="A414" t="s">
        <v>833</v>
      </c>
      <c r="B414" s="3">
        <v>45612</v>
      </c>
      <c r="C414" t="s">
        <v>42</v>
      </c>
      <c r="D414" t="s">
        <v>262</v>
      </c>
      <c r="E414" t="s">
        <v>84</v>
      </c>
      <c r="F414" t="s">
        <v>44</v>
      </c>
      <c r="G414">
        <v>2212.29</v>
      </c>
      <c r="H414">
        <v>1870.75</v>
      </c>
      <c r="I414">
        <v>341.54</v>
      </c>
      <c r="K414">
        <v>3</v>
      </c>
      <c r="L414" t="s">
        <v>22</v>
      </c>
      <c r="M414" t="s">
        <v>111</v>
      </c>
      <c r="N414">
        <v>4</v>
      </c>
      <c r="O414" t="s">
        <v>21</v>
      </c>
    </row>
    <row r="415" spans="1:15" x14ac:dyDescent="0.3">
      <c r="A415" t="s">
        <v>835</v>
      </c>
      <c r="B415" s="3">
        <v>45459</v>
      </c>
      <c r="C415" t="s">
        <v>59</v>
      </c>
      <c r="D415" t="s">
        <v>490</v>
      </c>
      <c r="E415" t="s">
        <v>40</v>
      </c>
      <c r="F415" t="s">
        <v>20</v>
      </c>
      <c r="G415">
        <v>2099.5500000000002</v>
      </c>
      <c r="H415">
        <v>1610.83</v>
      </c>
      <c r="I415">
        <v>488.72</v>
      </c>
      <c r="K415">
        <v>5</v>
      </c>
      <c r="L415" t="s">
        <v>22</v>
      </c>
      <c r="M415" t="s">
        <v>64</v>
      </c>
      <c r="N415">
        <v>2</v>
      </c>
      <c r="O415" t="s">
        <v>21</v>
      </c>
    </row>
    <row r="416" spans="1:15" x14ac:dyDescent="0.3">
      <c r="A416" t="s">
        <v>837</v>
      </c>
      <c r="B416" s="3">
        <v>45399</v>
      </c>
      <c r="C416" t="s">
        <v>33</v>
      </c>
      <c r="D416" t="s">
        <v>119</v>
      </c>
      <c r="E416" t="s">
        <v>27</v>
      </c>
      <c r="F416" t="s">
        <v>20</v>
      </c>
      <c r="G416">
        <v>713.13</v>
      </c>
      <c r="H416">
        <v>531.88</v>
      </c>
      <c r="I416">
        <v>181.25</v>
      </c>
      <c r="J416">
        <v>3</v>
      </c>
      <c r="K416">
        <v>1</v>
      </c>
      <c r="L416" t="s">
        <v>22</v>
      </c>
      <c r="M416" t="s">
        <v>16</v>
      </c>
      <c r="N416">
        <v>2</v>
      </c>
      <c r="O416" t="s">
        <v>56</v>
      </c>
    </row>
    <row r="417" spans="1:15" x14ac:dyDescent="0.3">
      <c r="A417" t="s">
        <v>839</v>
      </c>
      <c r="B417" s="3">
        <v>45346</v>
      </c>
      <c r="C417" t="s">
        <v>7</v>
      </c>
      <c r="D417" t="s">
        <v>128</v>
      </c>
      <c r="E417" t="s">
        <v>87</v>
      </c>
      <c r="F417" t="s">
        <v>28</v>
      </c>
      <c r="G417">
        <v>963.92</v>
      </c>
      <c r="H417">
        <v>572.84</v>
      </c>
      <c r="I417">
        <v>391.08</v>
      </c>
      <c r="J417">
        <v>2</v>
      </c>
      <c r="K417">
        <v>4</v>
      </c>
      <c r="L417" t="s">
        <v>29</v>
      </c>
      <c r="M417" t="s">
        <v>124</v>
      </c>
      <c r="N417">
        <v>1</v>
      </c>
      <c r="O417" t="s">
        <v>56</v>
      </c>
    </row>
    <row r="418" spans="1:15" x14ac:dyDescent="0.3">
      <c r="A418" t="s">
        <v>841</v>
      </c>
      <c r="B418" s="3">
        <v>45497</v>
      </c>
      <c r="C418" t="s">
        <v>42</v>
      </c>
      <c r="D418" t="s">
        <v>1698</v>
      </c>
      <c r="E418" t="s">
        <v>87</v>
      </c>
      <c r="F418" t="s">
        <v>36</v>
      </c>
      <c r="G418">
        <v>4259.3900000000003</v>
      </c>
      <c r="H418">
        <v>3556.96</v>
      </c>
      <c r="I418">
        <v>702.43</v>
      </c>
      <c r="J418">
        <v>3</v>
      </c>
      <c r="K418">
        <v>4</v>
      </c>
      <c r="L418" t="s">
        <v>22</v>
      </c>
      <c r="M418" t="s">
        <v>54</v>
      </c>
      <c r="N418">
        <v>3</v>
      </c>
      <c r="O418" t="s">
        <v>56</v>
      </c>
    </row>
    <row r="419" spans="1:15" x14ac:dyDescent="0.3">
      <c r="A419" t="s">
        <v>843</v>
      </c>
      <c r="B419" s="3">
        <v>45319</v>
      </c>
      <c r="C419" t="s">
        <v>42</v>
      </c>
      <c r="D419" t="s">
        <v>43</v>
      </c>
      <c r="E419" t="s">
        <v>19</v>
      </c>
      <c r="F419" t="s">
        <v>845</v>
      </c>
      <c r="G419">
        <v>287.47000000000003</v>
      </c>
      <c r="H419">
        <v>205.67</v>
      </c>
      <c r="I419">
        <v>81.8</v>
      </c>
      <c r="K419">
        <v>5</v>
      </c>
      <c r="L419" t="s">
        <v>22</v>
      </c>
      <c r="M419" t="s">
        <v>25</v>
      </c>
      <c r="N419">
        <v>1</v>
      </c>
      <c r="O419" t="s">
        <v>21</v>
      </c>
    </row>
    <row r="420" spans="1:15" x14ac:dyDescent="0.3">
      <c r="A420" t="s">
        <v>846</v>
      </c>
      <c r="B420" s="3">
        <v>45454</v>
      </c>
      <c r="C420" t="s">
        <v>59</v>
      </c>
      <c r="D420" t="s">
        <v>60</v>
      </c>
      <c r="E420" t="s">
        <v>27</v>
      </c>
      <c r="F420" t="s">
        <v>20</v>
      </c>
      <c r="G420">
        <v>197.53</v>
      </c>
      <c r="H420">
        <v>152.91</v>
      </c>
      <c r="I420">
        <v>44.62</v>
      </c>
      <c r="K420">
        <v>5</v>
      </c>
      <c r="L420" t="s">
        <v>22</v>
      </c>
      <c r="M420" t="s">
        <v>64</v>
      </c>
      <c r="N420">
        <v>2</v>
      </c>
      <c r="O420" t="s">
        <v>21</v>
      </c>
    </row>
    <row r="421" spans="1:15" x14ac:dyDescent="0.3">
      <c r="A421" t="s">
        <v>848</v>
      </c>
      <c r="B421" s="3">
        <v>45646</v>
      </c>
      <c r="C421" t="s">
        <v>33</v>
      </c>
      <c r="D421" t="s">
        <v>171</v>
      </c>
      <c r="E421" t="s">
        <v>35</v>
      </c>
      <c r="F421" t="s">
        <v>28</v>
      </c>
      <c r="G421">
        <v>1719.26</v>
      </c>
      <c r="H421">
        <v>1080.21</v>
      </c>
      <c r="I421">
        <v>639.04999999999995</v>
      </c>
      <c r="K421">
        <v>5</v>
      </c>
      <c r="L421" t="s">
        <v>22</v>
      </c>
      <c r="M421" t="s">
        <v>179</v>
      </c>
      <c r="N421">
        <v>4</v>
      </c>
      <c r="O421" t="s">
        <v>21</v>
      </c>
    </row>
    <row r="422" spans="1:15" x14ac:dyDescent="0.3">
      <c r="A422" t="s">
        <v>850</v>
      </c>
      <c r="B422" s="3">
        <v>45651</v>
      </c>
      <c r="C422" t="s">
        <v>17</v>
      </c>
      <c r="D422" t="s">
        <v>18</v>
      </c>
      <c r="E422" t="s">
        <v>87</v>
      </c>
      <c r="F422" t="s">
        <v>36</v>
      </c>
      <c r="G422">
        <v>4669.4799999999996</v>
      </c>
      <c r="H422">
        <v>3076.3</v>
      </c>
      <c r="I422">
        <v>1593.18</v>
      </c>
      <c r="K422">
        <v>4</v>
      </c>
      <c r="L422" t="s">
        <v>22</v>
      </c>
      <c r="M422" t="s">
        <v>179</v>
      </c>
      <c r="N422">
        <v>4</v>
      </c>
      <c r="O422" t="s">
        <v>21</v>
      </c>
    </row>
    <row r="423" spans="1:15" x14ac:dyDescent="0.3">
      <c r="A423" t="s">
        <v>851</v>
      </c>
      <c r="B423" s="3">
        <v>45644</v>
      </c>
      <c r="C423" t="s">
        <v>33</v>
      </c>
      <c r="D423" t="s">
        <v>297</v>
      </c>
      <c r="E423" t="s">
        <v>84</v>
      </c>
      <c r="F423" t="s">
        <v>28</v>
      </c>
      <c r="G423">
        <v>2258.02</v>
      </c>
      <c r="H423">
        <v>1578.87</v>
      </c>
      <c r="I423">
        <v>679.15</v>
      </c>
      <c r="K423">
        <v>5</v>
      </c>
      <c r="L423" t="s">
        <v>22</v>
      </c>
      <c r="M423" t="s">
        <v>179</v>
      </c>
      <c r="N423">
        <v>4</v>
      </c>
      <c r="O423" t="s">
        <v>21</v>
      </c>
    </row>
    <row r="424" spans="1:15" x14ac:dyDescent="0.3">
      <c r="A424" t="s">
        <v>852</v>
      </c>
      <c r="B424" s="3">
        <v>45524</v>
      </c>
      <c r="C424" t="s">
        <v>59</v>
      </c>
      <c r="D424" t="s">
        <v>194</v>
      </c>
      <c r="E424" t="s">
        <v>19</v>
      </c>
      <c r="F424" t="s">
        <v>20</v>
      </c>
      <c r="G424">
        <v>457.11</v>
      </c>
      <c r="H424">
        <v>275.64999999999998</v>
      </c>
      <c r="I424">
        <v>181.46</v>
      </c>
      <c r="J424">
        <v>3</v>
      </c>
      <c r="K424">
        <v>4</v>
      </c>
      <c r="L424" t="s">
        <v>22</v>
      </c>
      <c r="M424" t="s">
        <v>32</v>
      </c>
      <c r="N424">
        <v>3</v>
      </c>
      <c r="O424" t="s">
        <v>56</v>
      </c>
    </row>
    <row r="425" spans="1:15" x14ac:dyDescent="0.3">
      <c r="A425" t="s">
        <v>853</v>
      </c>
      <c r="B425" s="3">
        <v>45411</v>
      </c>
      <c r="C425" t="s">
        <v>17</v>
      </c>
      <c r="D425" t="s">
        <v>72</v>
      </c>
      <c r="E425" t="s">
        <v>35</v>
      </c>
      <c r="F425" t="s">
        <v>44</v>
      </c>
      <c r="G425">
        <v>1836.46</v>
      </c>
      <c r="H425">
        <v>1333.56</v>
      </c>
      <c r="I425">
        <v>502.9</v>
      </c>
      <c r="J425">
        <v>5</v>
      </c>
      <c r="K425">
        <v>2</v>
      </c>
      <c r="L425" t="s">
        <v>22</v>
      </c>
      <c r="M425" t="s">
        <v>16</v>
      </c>
      <c r="N425">
        <v>2</v>
      </c>
      <c r="O425" t="s">
        <v>56</v>
      </c>
    </row>
    <row r="426" spans="1:15" x14ac:dyDescent="0.3">
      <c r="A426" t="s">
        <v>855</v>
      </c>
      <c r="B426" s="3">
        <v>45498</v>
      </c>
      <c r="C426" t="s">
        <v>17</v>
      </c>
      <c r="D426" t="s">
        <v>226</v>
      </c>
      <c r="E426" t="s">
        <v>35</v>
      </c>
      <c r="F426" t="s">
        <v>44</v>
      </c>
      <c r="G426">
        <v>3127.46</v>
      </c>
      <c r="H426">
        <v>2084.94</v>
      </c>
      <c r="I426">
        <v>1042.52</v>
      </c>
      <c r="K426">
        <v>5</v>
      </c>
      <c r="L426" t="s">
        <v>22</v>
      </c>
      <c r="M426" t="s">
        <v>54</v>
      </c>
      <c r="N426">
        <v>3</v>
      </c>
      <c r="O426" t="s">
        <v>21</v>
      </c>
    </row>
    <row r="427" spans="1:15" x14ac:dyDescent="0.3">
      <c r="A427" t="s">
        <v>857</v>
      </c>
      <c r="B427" s="3">
        <v>45346</v>
      </c>
      <c r="C427" t="s">
        <v>42</v>
      </c>
      <c r="D427" t="s">
        <v>262</v>
      </c>
      <c r="E427" t="s">
        <v>35</v>
      </c>
      <c r="F427" t="s">
        <v>73</v>
      </c>
      <c r="G427">
        <v>551.59</v>
      </c>
      <c r="H427">
        <v>395.64</v>
      </c>
      <c r="I427">
        <v>155.94999999999999</v>
      </c>
      <c r="K427">
        <v>4</v>
      </c>
      <c r="L427" t="s">
        <v>29</v>
      </c>
      <c r="M427" t="s">
        <v>124</v>
      </c>
      <c r="N427">
        <v>1</v>
      </c>
      <c r="O427" t="s">
        <v>21</v>
      </c>
    </row>
    <row r="428" spans="1:15" x14ac:dyDescent="0.3">
      <c r="A428" t="s">
        <v>858</v>
      </c>
      <c r="B428" s="3">
        <v>45480</v>
      </c>
      <c r="C428" t="s">
        <v>33</v>
      </c>
      <c r="D428" t="s">
        <v>34</v>
      </c>
      <c r="E428" t="s">
        <v>19</v>
      </c>
      <c r="F428" t="s">
        <v>28</v>
      </c>
      <c r="G428">
        <v>1363.64</v>
      </c>
      <c r="H428">
        <v>920.95</v>
      </c>
      <c r="I428">
        <v>442.69</v>
      </c>
      <c r="K428">
        <v>5</v>
      </c>
      <c r="L428" t="s">
        <v>22</v>
      </c>
      <c r="M428" t="s">
        <v>54</v>
      </c>
      <c r="N428">
        <v>3</v>
      </c>
      <c r="O428" t="s">
        <v>21</v>
      </c>
    </row>
    <row r="429" spans="1:15" x14ac:dyDescent="0.3">
      <c r="A429" t="s">
        <v>859</v>
      </c>
      <c r="B429" s="3">
        <v>45389</v>
      </c>
      <c r="C429" t="s">
        <v>59</v>
      </c>
      <c r="D429" t="s">
        <v>301</v>
      </c>
      <c r="E429" t="s">
        <v>40</v>
      </c>
      <c r="F429" t="s">
        <v>73</v>
      </c>
      <c r="G429">
        <v>914.17</v>
      </c>
      <c r="H429">
        <v>541.77</v>
      </c>
      <c r="I429">
        <v>372.4</v>
      </c>
      <c r="K429">
        <v>4</v>
      </c>
      <c r="L429" t="s">
        <v>22</v>
      </c>
      <c r="M429" t="s">
        <v>16</v>
      </c>
      <c r="N429">
        <v>2</v>
      </c>
      <c r="O429" t="s">
        <v>21</v>
      </c>
    </row>
    <row r="430" spans="1:15" x14ac:dyDescent="0.3">
      <c r="A430" t="s">
        <v>861</v>
      </c>
      <c r="B430" s="3">
        <v>45452</v>
      </c>
      <c r="C430" t="s">
        <v>33</v>
      </c>
      <c r="D430" t="s">
        <v>119</v>
      </c>
      <c r="E430" t="s">
        <v>27</v>
      </c>
      <c r="F430" t="s">
        <v>44</v>
      </c>
      <c r="G430">
        <v>501.11</v>
      </c>
      <c r="H430">
        <v>379.13</v>
      </c>
      <c r="I430">
        <v>121.98</v>
      </c>
      <c r="K430">
        <v>5</v>
      </c>
      <c r="L430" t="s">
        <v>22</v>
      </c>
      <c r="M430" t="s">
        <v>64</v>
      </c>
      <c r="N430">
        <v>2</v>
      </c>
      <c r="O430" t="s">
        <v>21</v>
      </c>
    </row>
    <row r="431" spans="1:15" x14ac:dyDescent="0.3">
      <c r="A431" t="s">
        <v>863</v>
      </c>
      <c r="B431" s="3">
        <v>45492</v>
      </c>
      <c r="C431" t="s">
        <v>17</v>
      </c>
      <c r="D431" t="s">
        <v>96</v>
      </c>
      <c r="E431" t="s">
        <v>40</v>
      </c>
      <c r="F431" t="s">
        <v>28</v>
      </c>
      <c r="G431">
        <v>2152.77</v>
      </c>
      <c r="H431">
        <v>1476.48</v>
      </c>
      <c r="I431">
        <v>676.29</v>
      </c>
      <c r="J431">
        <v>5</v>
      </c>
      <c r="K431">
        <v>2</v>
      </c>
      <c r="L431" t="s">
        <v>22</v>
      </c>
      <c r="M431" t="s">
        <v>54</v>
      </c>
      <c r="N431">
        <v>3</v>
      </c>
      <c r="O431" t="s">
        <v>56</v>
      </c>
    </row>
    <row r="432" spans="1:15" x14ac:dyDescent="0.3">
      <c r="A432" t="s">
        <v>865</v>
      </c>
      <c r="B432" s="3">
        <v>45451</v>
      </c>
      <c r="C432" t="s">
        <v>42</v>
      </c>
      <c r="D432" t="s">
        <v>80</v>
      </c>
      <c r="E432" t="s">
        <v>40</v>
      </c>
      <c r="F432" t="s">
        <v>36</v>
      </c>
      <c r="G432">
        <v>2222.89</v>
      </c>
      <c r="H432">
        <v>1573.05</v>
      </c>
      <c r="I432">
        <v>649.84</v>
      </c>
      <c r="J432">
        <v>7</v>
      </c>
      <c r="K432">
        <v>4</v>
      </c>
      <c r="L432" t="s">
        <v>29</v>
      </c>
      <c r="M432" t="s">
        <v>64</v>
      </c>
      <c r="N432">
        <v>2</v>
      </c>
      <c r="O432" t="s">
        <v>56</v>
      </c>
    </row>
    <row r="433" spans="1:15" x14ac:dyDescent="0.3">
      <c r="A433" t="s">
        <v>867</v>
      </c>
      <c r="B433" s="3">
        <v>45443</v>
      </c>
      <c r="C433" t="s">
        <v>17</v>
      </c>
      <c r="D433" t="s">
        <v>26</v>
      </c>
      <c r="E433" t="s">
        <v>87</v>
      </c>
      <c r="F433" t="s">
        <v>20</v>
      </c>
      <c r="G433">
        <v>636.36</v>
      </c>
      <c r="H433">
        <v>474.65</v>
      </c>
      <c r="I433">
        <v>161.71</v>
      </c>
      <c r="K433">
        <v>3</v>
      </c>
      <c r="L433" t="s">
        <v>22</v>
      </c>
      <c r="M433" t="s">
        <v>104</v>
      </c>
      <c r="N433">
        <v>2</v>
      </c>
      <c r="O433" t="s">
        <v>21</v>
      </c>
    </row>
    <row r="434" spans="1:15" x14ac:dyDescent="0.3">
      <c r="A434" t="s">
        <v>869</v>
      </c>
      <c r="B434" s="3">
        <v>45565</v>
      </c>
      <c r="C434" t="s">
        <v>59</v>
      </c>
      <c r="D434" t="s">
        <v>490</v>
      </c>
      <c r="E434" t="s">
        <v>87</v>
      </c>
      <c r="F434" t="s">
        <v>36</v>
      </c>
      <c r="G434">
        <v>2759.67</v>
      </c>
      <c r="H434">
        <v>1790.55</v>
      </c>
      <c r="I434">
        <v>969.12</v>
      </c>
      <c r="K434">
        <v>5</v>
      </c>
      <c r="L434" t="s">
        <v>22</v>
      </c>
      <c r="M434" t="s">
        <v>115</v>
      </c>
      <c r="N434">
        <v>3</v>
      </c>
      <c r="O434" t="s">
        <v>21</v>
      </c>
    </row>
    <row r="435" spans="1:15" x14ac:dyDescent="0.3">
      <c r="A435" t="s">
        <v>870</v>
      </c>
      <c r="B435" s="3">
        <v>45618</v>
      </c>
      <c r="C435" t="s">
        <v>7</v>
      </c>
      <c r="D435" t="s">
        <v>128</v>
      </c>
      <c r="E435" t="s">
        <v>84</v>
      </c>
      <c r="F435" t="s">
        <v>36</v>
      </c>
      <c r="G435">
        <v>2701.81</v>
      </c>
      <c r="H435">
        <v>1614.62</v>
      </c>
      <c r="I435">
        <v>1087.19</v>
      </c>
      <c r="K435">
        <v>5</v>
      </c>
      <c r="L435" t="s">
        <v>29</v>
      </c>
      <c r="M435" t="s">
        <v>111</v>
      </c>
      <c r="N435">
        <v>4</v>
      </c>
      <c r="O435" t="s">
        <v>21</v>
      </c>
    </row>
    <row r="436" spans="1:15" x14ac:dyDescent="0.3">
      <c r="A436" t="s">
        <v>872</v>
      </c>
      <c r="B436" s="3">
        <v>45524</v>
      </c>
      <c r="C436" t="s">
        <v>33</v>
      </c>
      <c r="D436" t="s">
        <v>39</v>
      </c>
      <c r="E436" t="s">
        <v>27</v>
      </c>
      <c r="F436" t="s">
        <v>20</v>
      </c>
      <c r="G436">
        <v>452.1</v>
      </c>
      <c r="H436">
        <v>285.27999999999997</v>
      </c>
      <c r="I436">
        <v>166.82</v>
      </c>
      <c r="K436">
        <v>3</v>
      </c>
      <c r="L436" t="s">
        <v>22</v>
      </c>
      <c r="M436" t="s">
        <v>32</v>
      </c>
      <c r="N436">
        <v>3</v>
      </c>
      <c r="O436" t="s">
        <v>21</v>
      </c>
    </row>
    <row r="437" spans="1:15" x14ac:dyDescent="0.3">
      <c r="A437" t="s">
        <v>873</v>
      </c>
      <c r="B437" s="3">
        <v>45322</v>
      </c>
      <c r="C437" t="s">
        <v>42</v>
      </c>
      <c r="D437" t="s">
        <v>80</v>
      </c>
      <c r="E437" t="s">
        <v>40</v>
      </c>
      <c r="F437" t="s">
        <v>44</v>
      </c>
      <c r="G437">
        <v>1589.57</v>
      </c>
      <c r="H437">
        <v>1327.16</v>
      </c>
      <c r="I437">
        <v>262.41000000000003</v>
      </c>
      <c r="J437">
        <v>9</v>
      </c>
      <c r="K437">
        <v>2</v>
      </c>
      <c r="L437" t="s">
        <v>22</v>
      </c>
      <c r="M437" t="s">
        <v>25</v>
      </c>
      <c r="N437">
        <v>1</v>
      </c>
      <c r="O437" t="s">
        <v>56</v>
      </c>
    </row>
    <row r="438" spans="1:15" x14ac:dyDescent="0.3">
      <c r="A438" t="s">
        <v>874</v>
      </c>
      <c r="B438" s="3">
        <v>45573</v>
      </c>
      <c r="C438" t="s">
        <v>17</v>
      </c>
      <c r="D438" t="s">
        <v>100</v>
      </c>
      <c r="E438" t="s">
        <v>40</v>
      </c>
      <c r="F438" t="s">
        <v>36</v>
      </c>
      <c r="G438">
        <v>1422.05</v>
      </c>
      <c r="H438">
        <v>997.86</v>
      </c>
      <c r="I438">
        <v>424.19</v>
      </c>
      <c r="K438">
        <v>3</v>
      </c>
      <c r="L438" t="s">
        <v>22</v>
      </c>
      <c r="M438" t="s">
        <v>68</v>
      </c>
      <c r="N438">
        <v>4</v>
      </c>
      <c r="O438" t="s">
        <v>21</v>
      </c>
    </row>
    <row r="439" spans="1:15" x14ac:dyDescent="0.3">
      <c r="A439" t="s">
        <v>876</v>
      </c>
      <c r="B439" s="3">
        <v>45497</v>
      </c>
      <c r="C439" t="s">
        <v>33</v>
      </c>
      <c r="D439" t="s">
        <v>39</v>
      </c>
      <c r="E439" t="s">
        <v>27</v>
      </c>
      <c r="F439" t="s">
        <v>73</v>
      </c>
      <c r="G439">
        <v>2673.62</v>
      </c>
      <c r="H439">
        <v>1992.49</v>
      </c>
      <c r="I439">
        <v>681.13</v>
      </c>
      <c r="K439">
        <v>4</v>
      </c>
      <c r="L439" t="s">
        <v>22</v>
      </c>
      <c r="M439" t="s">
        <v>54</v>
      </c>
      <c r="N439">
        <v>3</v>
      </c>
      <c r="O439" t="s">
        <v>21</v>
      </c>
    </row>
    <row r="440" spans="1:15" x14ac:dyDescent="0.3">
      <c r="A440" t="s">
        <v>877</v>
      </c>
      <c r="B440" s="3">
        <v>45374</v>
      </c>
      <c r="C440" t="s">
        <v>33</v>
      </c>
      <c r="D440" t="s">
        <v>297</v>
      </c>
      <c r="E440" t="s">
        <v>35</v>
      </c>
      <c r="F440" t="s">
        <v>36</v>
      </c>
      <c r="G440">
        <v>455.45</v>
      </c>
      <c r="H440">
        <v>334.81</v>
      </c>
      <c r="I440">
        <v>120.64</v>
      </c>
      <c r="K440">
        <v>4</v>
      </c>
      <c r="L440" t="s">
        <v>22</v>
      </c>
      <c r="M440" t="s">
        <v>76</v>
      </c>
      <c r="N440">
        <v>1</v>
      </c>
      <c r="O440" t="s">
        <v>21</v>
      </c>
    </row>
    <row r="441" spans="1:15" x14ac:dyDescent="0.3">
      <c r="A441" t="s">
        <v>878</v>
      </c>
      <c r="B441" s="3">
        <v>45312</v>
      </c>
      <c r="C441" t="s">
        <v>7</v>
      </c>
      <c r="D441" t="s">
        <v>131</v>
      </c>
      <c r="E441" t="s">
        <v>84</v>
      </c>
      <c r="F441" t="s">
        <v>73</v>
      </c>
      <c r="G441">
        <v>1848.93</v>
      </c>
      <c r="H441">
        <v>1232.92</v>
      </c>
      <c r="I441">
        <v>616.01</v>
      </c>
      <c r="K441">
        <v>5</v>
      </c>
      <c r="L441" t="s">
        <v>22</v>
      </c>
      <c r="M441" t="s">
        <v>25</v>
      </c>
      <c r="N441">
        <v>1</v>
      </c>
      <c r="O441" t="s">
        <v>21</v>
      </c>
    </row>
    <row r="442" spans="1:15" x14ac:dyDescent="0.3">
      <c r="A442" t="s">
        <v>880</v>
      </c>
      <c r="B442" s="3">
        <v>45387</v>
      </c>
      <c r="C442" t="s">
        <v>42</v>
      </c>
      <c r="D442" t="s">
        <v>162</v>
      </c>
      <c r="E442" t="s">
        <v>19</v>
      </c>
      <c r="F442" t="s">
        <v>44</v>
      </c>
      <c r="G442">
        <v>972.92</v>
      </c>
      <c r="H442">
        <v>682.92</v>
      </c>
      <c r="I442">
        <v>290</v>
      </c>
      <c r="K442">
        <v>2</v>
      </c>
      <c r="L442" t="s">
        <v>22</v>
      </c>
      <c r="M442" t="s">
        <v>16</v>
      </c>
      <c r="N442">
        <v>2</v>
      </c>
      <c r="O442" t="s">
        <v>21</v>
      </c>
    </row>
    <row r="443" spans="1:15" x14ac:dyDescent="0.3">
      <c r="A443" t="s">
        <v>881</v>
      </c>
      <c r="B443" s="3">
        <v>45534</v>
      </c>
      <c r="C443" t="s">
        <v>7</v>
      </c>
      <c r="D443" t="s">
        <v>65</v>
      </c>
      <c r="E443" t="s">
        <v>35</v>
      </c>
      <c r="F443" t="s">
        <v>73</v>
      </c>
      <c r="G443">
        <v>2103.58</v>
      </c>
      <c r="H443">
        <v>1413.77</v>
      </c>
      <c r="I443">
        <v>689.81</v>
      </c>
      <c r="K443">
        <v>4</v>
      </c>
      <c r="L443" t="s">
        <v>22</v>
      </c>
      <c r="M443" t="s">
        <v>32</v>
      </c>
      <c r="N443">
        <v>3</v>
      </c>
      <c r="O443" t="s">
        <v>56</v>
      </c>
    </row>
    <row r="444" spans="1:15" x14ac:dyDescent="0.3">
      <c r="A444" t="s">
        <v>883</v>
      </c>
      <c r="B444" s="3">
        <v>45506</v>
      </c>
      <c r="C444" t="s">
        <v>59</v>
      </c>
      <c r="D444" t="s">
        <v>194</v>
      </c>
      <c r="E444" t="s">
        <v>27</v>
      </c>
      <c r="F444" t="s">
        <v>44</v>
      </c>
      <c r="G444">
        <v>754.24</v>
      </c>
      <c r="H444">
        <v>564.26</v>
      </c>
      <c r="I444">
        <v>189.98</v>
      </c>
      <c r="K444">
        <v>5</v>
      </c>
      <c r="L444" t="s">
        <v>22</v>
      </c>
      <c r="M444" t="s">
        <v>32</v>
      </c>
      <c r="N444">
        <v>3</v>
      </c>
      <c r="O444" t="s">
        <v>21</v>
      </c>
    </row>
    <row r="445" spans="1:15" x14ac:dyDescent="0.3">
      <c r="A445" t="s">
        <v>885</v>
      </c>
      <c r="B445" s="3">
        <v>45363</v>
      </c>
      <c r="C445" t="s">
        <v>17</v>
      </c>
      <c r="D445" t="s">
        <v>469</v>
      </c>
      <c r="E445" t="s">
        <v>87</v>
      </c>
      <c r="F445" t="s">
        <v>20</v>
      </c>
      <c r="G445">
        <v>657.76</v>
      </c>
      <c r="H445">
        <v>447.73</v>
      </c>
      <c r="I445">
        <v>210.03</v>
      </c>
      <c r="J445">
        <v>6</v>
      </c>
      <c r="K445">
        <v>2</v>
      </c>
      <c r="L445" t="s">
        <v>22</v>
      </c>
      <c r="M445" t="s">
        <v>76</v>
      </c>
      <c r="N445">
        <v>1</v>
      </c>
      <c r="O445" t="s">
        <v>56</v>
      </c>
    </row>
    <row r="446" spans="1:15" x14ac:dyDescent="0.3">
      <c r="A446" t="s">
        <v>886</v>
      </c>
      <c r="B446" s="3">
        <v>45632</v>
      </c>
      <c r="C446" t="s">
        <v>59</v>
      </c>
      <c r="D446" t="s">
        <v>490</v>
      </c>
      <c r="E446" t="s">
        <v>19</v>
      </c>
      <c r="F446" t="s">
        <v>28</v>
      </c>
      <c r="G446">
        <v>1745.61</v>
      </c>
      <c r="H446">
        <v>1351.76</v>
      </c>
      <c r="I446">
        <v>393.85</v>
      </c>
      <c r="K446">
        <v>5</v>
      </c>
      <c r="L446" t="s">
        <v>22</v>
      </c>
      <c r="M446" t="s">
        <v>179</v>
      </c>
      <c r="N446">
        <v>4</v>
      </c>
      <c r="O446" t="s">
        <v>21</v>
      </c>
    </row>
    <row r="447" spans="1:15" x14ac:dyDescent="0.3">
      <c r="A447" t="s">
        <v>887</v>
      </c>
      <c r="B447" s="3">
        <v>45562</v>
      </c>
      <c r="C447" t="s">
        <v>17</v>
      </c>
      <c r="D447" t="s">
        <v>18</v>
      </c>
      <c r="E447" t="s">
        <v>19</v>
      </c>
      <c r="F447" t="s">
        <v>28</v>
      </c>
      <c r="G447">
        <v>213.72</v>
      </c>
      <c r="H447">
        <v>148.34</v>
      </c>
      <c r="I447">
        <v>65.38</v>
      </c>
      <c r="K447">
        <v>5</v>
      </c>
      <c r="L447" t="s">
        <v>29</v>
      </c>
      <c r="M447" t="s">
        <v>115</v>
      </c>
      <c r="N447">
        <v>3</v>
      </c>
      <c r="O447" t="s">
        <v>21</v>
      </c>
    </row>
    <row r="448" spans="1:15" x14ac:dyDescent="0.3">
      <c r="A448" t="s">
        <v>889</v>
      </c>
      <c r="B448" s="3">
        <v>45376</v>
      </c>
      <c r="C448" t="s">
        <v>42</v>
      </c>
      <c r="D448" t="s">
        <v>1698</v>
      </c>
      <c r="E448" t="s">
        <v>84</v>
      </c>
      <c r="F448" t="s">
        <v>36</v>
      </c>
      <c r="G448">
        <v>1275.97</v>
      </c>
      <c r="H448">
        <v>1061.04</v>
      </c>
      <c r="I448">
        <v>214.93</v>
      </c>
      <c r="K448">
        <v>3</v>
      </c>
      <c r="L448" t="s">
        <v>22</v>
      </c>
      <c r="M448" t="s">
        <v>76</v>
      </c>
      <c r="N448">
        <v>1</v>
      </c>
      <c r="O448" t="s">
        <v>21</v>
      </c>
    </row>
    <row r="449" spans="1:15" x14ac:dyDescent="0.3">
      <c r="A449" t="s">
        <v>890</v>
      </c>
      <c r="B449" s="3">
        <v>45617</v>
      </c>
      <c r="C449" t="s">
        <v>33</v>
      </c>
      <c r="D449" t="s">
        <v>119</v>
      </c>
      <c r="E449" t="s">
        <v>19</v>
      </c>
      <c r="F449" t="s">
        <v>36</v>
      </c>
      <c r="G449">
        <v>2689.02</v>
      </c>
      <c r="H449">
        <v>1901.69</v>
      </c>
      <c r="I449">
        <v>787.33</v>
      </c>
      <c r="K449">
        <v>5</v>
      </c>
      <c r="L449" t="s">
        <v>22</v>
      </c>
      <c r="M449" t="s">
        <v>111</v>
      </c>
      <c r="N449">
        <v>4</v>
      </c>
      <c r="O449" t="s">
        <v>21</v>
      </c>
    </row>
    <row r="450" spans="1:15" x14ac:dyDescent="0.3">
      <c r="A450" t="s">
        <v>892</v>
      </c>
      <c r="B450" s="3">
        <v>45343</v>
      </c>
      <c r="C450" t="s">
        <v>59</v>
      </c>
      <c r="D450" t="s">
        <v>308</v>
      </c>
      <c r="E450" t="s">
        <v>35</v>
      </c>
      <c r="F450" t="s">
        <v>36</v>
      </c>
      <c r="G450">
        <v>638.9</v>
      </c>
      <c r="H450">
        <v>464.98</v>
      </c>
      <c r="I450">
        <v>173.92</v>
      </c>
      <c r="J450">
        <v>7</v>
      </c>
      <c r="K450">
        <v>2</v>
      </c>
      <c r="L450" t="s">
        <v>22</v>
      </c>
      <c r="M450" t="s">
        <v>124</v>
      </c>
      <c r="N450">
        <v>1</v>
      </c>
      <c r="O450" t="s">
        <v>56</v>
      </c>
    </row>
    <row r="451" spans="1:15" x14ac:dyDescent="0.3">
      <c r="A451" t="s">
        <v>893</v>
      </c>
      <c r="B451" s="3">
        <v>45422</v>
      </c>
      <c r="C451" t="s">
        <v>42</v>
      </c>
      <c r="D451" t="s">
        <v>262</v>
      </c>
      <c r="E451" t="s">
        <v>19</v>
      </c>
      <c r="F451" t="s">
        <v>44</v>
      </c>
      <c r="G451">
        <v>1689.56</v>
      </c>
      <c r="H451">
        <v>1430.56</v>
      </c>
      <c r="I451">
        <v>259</v>
      </c>
      <c r="L451" t="s">
        <v>22</v>
      </c>
      <c r="M451" t="s">
        <v>104</v>
      </c>
      <c r="N451">
        <v>2</v>
      </c>
      <c r="O451" t="s">
        <v>21</v>
      </c>
    </row>
    <row r="452" spans="1:15" x14ac:dyDescent="0.3">
      <c r="A452" t="s">
        <v>894</v>
      </c>
      <c r="B452" s="3">
        <v>45640</v>
      </c>
      <c r="C452" t="s">
        <v>17</v>
      </c>
      <c r="D452" t="s">
        <v>226</v>
      </c>
      <c r="E452" t="s">
        <v>40</v>
      </c>
      <c r="F452" t="s">
        <v>20</v>
      </c>
      <c r="G452">
        <v>582.1</v>
      </c>
      <c r="H452">
        <v>373.52</v>
      </c>
      <c r="I452">
        <v>208.58</v>
      </c>
      <c r="K452">
        <v>4</v>
      </c>
      <c r="L452" t="s">
        <v>22</v>
      </c>
      <c r="M452" t="s">
        <v>179</v>
      </c>
      <c r="N452">
        <v>4</v>
      </c>
      <c r="O452" t="s">
        <v>21</v>
      </c>
    </row>
    <row r="453" spans="1:15" x14ac:dyDescent="0.3">
      <c r="A453" t="s">
        <v>895</v>
      </c>
      <c r="B453" s="3">
        <v>45368</v>
      </c>
      <c r="C453" t="s">
        <v>7</v>
      </c>
      <c r="D453" t="s">
        <v>182</v>
      </c>
      <c r="E453" t="s">
        <v>84</v>
      </c>
      <c r="F453" t="s">
        <v>44</v>
      </c>
      <c r="G453">
        <v>1244.8900000000001</v>
      </c>
      <c r="H453">
        <v>901.85</v>
      </c>
      <c r="I453">
        <v>343.04</v>
      </c>
      <c r="J453">
        <v>7</v>
      </c>
      <c r="K453">
        <v>5</v>
      </c>
      <c r="L453" t="s">
        <v>22</v>
      </c>
      <c r="M453" t="s">
        <v>76</v>
      </c>
      <c r="N453">
        <v>1</v>
      </c>
      <c r="O453" t="s">
        <v>56</v>
      </c>
    </row>
    <row r="454" spans="1:15" x14ac:dyDescent="0.3">
      <c r="A454" t="s">
        <v>897</v>
      </c>
      <c r="B454" s="3">
        <v>45515</v>
      </c>
      <c r="C454" t="s">
        <v>59</v>
      </c>
      <c r="D454" t="s">
        <v>490</v>
      </c>
      <c r="E454" t="s">
        <v>27</v>
      </c>
      <c r="F454" t="s">
        <v>36</v>
      </c>
      <c r="G454">
        <v>2882.34</v>
      </c>
      <c r="H454">
        <v>2153.8000000000002</v>
      </c>
      <c r="I454">
        <v>728.54</v>
      </c>
      <c r="K454">
        <v>4</v>
      </c>
      <c r="L454" t="s">
        <v>29</v>
      </c>
      <c r="M454" t="s">
        <v>32</v>
      </c>
      <c r="N454">
        <v>3</v>
      </c>
      <c r="O454" t="s">
        <v>21</v>
      </c>
    </row>
    <row r="455" spans="1:15" x14ac:dyDescent="0.3">
      <c r="A455" t="s">
        <v>898</v>
      </c>
      <c r="B455" s="3">
        <v>45327</v>
      </c>
      <c r="C455" t="s">
        <v>17</v>
      </c>
      <c r="D455" t="s">
        <v>96</v>
      </c>
      <c r="E455" t="s">
        <v>35</v>
      </c>
      <c r="F455" t="s">
        <v>36</v>
      </c>
      <c r="G455">
        <v>936.48</v>
      </c>
      <c r="H455">
        <v>675.3</v>
      </c>
      <c r="I455">
        <v>261.18</v>
      </c>
      <c r="K455">
        <v>4</v>
      </c>
      <c r="L455" t="s">
        <v>29</v>
      </c>
      <c r="M455" t="s">
        <v>124</v>
      </c>
      <c r="N455">
        <v>1</v>
      </c>
      <c r="O455" t="s">
        <v>21</v>
      </c>
    </row>
    <row r="456" spans="1:15" x14ac:dyDescent="0.3">
      <c r="A456" t="s">
        <v>900</v>
      </c>
      <c r="B456" s="3">
        <v>45376</v>
      </c>
      <c r="C456" t="s">
        <v>33</v>
      </c>
      <c r="D456" t="s">
        <v>119</v>
      </c>
      <c r="E456" t="s">
        <v>84</v>
      </c>
      <c r="F456" t="s">
        <v>44</v>
      </c>
      <c r="G456">
        <v>624.08000000000004</v>
      </c>
      <c r="H456">
        <v>424.88</v>
      </c>
      <c r="I456">
        <v>199.2</v>
      </c>
      <c r="K456">
        <v>4</v>
      </c>
      <c r="L456" t="s">
        <v>22</v>
      </c>
      <c r="M456" t="s">
        <v>76</v>
      </c>
      <c r="N456">
        <v>1</v>
      </c>
      <c r="O456" t="s">
        <v>21</v>
      </c>
    </row>
    <row r="457" spans="1:15" x14ac:dyDescent="0.3">
      <c r="A457" t="s">
        <v>901</v>
      </c>
      <c r="B457" s="3">
        <v>45618</v>
      </c>
      <c r="C457" t="s">
        <v>7</v>
      </c>
      <c r="D457" t="s">
        <v>185</v>
      </c>
      <c r="E457" t="s">
        <v>84</v>
      </c>
      <c r="F457" t="s">
        <v>28</v>
      </c>
      <c r="G457">
        <v>3432.32</v>
      </c>
      <c r="H457">
        <v>2026.43</v>
      </c>
      <c r="I457">
        <v>1405.89</v>
      </c>
      <c r="K457">
        <v>1</v>
      </c>
      <c r="L457" t="s">
        <v>29</v>
      </c>
      <c r="M457" t="s">
        <v>111</v>
      </c>
      <c r="N457">
        <v>4</v>
      </c>
      <c r="O457" t="s">
        <v>21</v>
      </c>
    </row>
    <row r="458" spans="1:15" x14ac:dyDescent="0.3">
      <c r="A458" t="s">
        <v>902</v>
      </c>
      <c r="B458" s="3">
        <v>45494</v>
      </c>
      <c r="C458" t="s">
        <v>42</v>
      </c>
      <c r="D458" t="s">
        <v>162</v>
      </c>
      <c r="E458" t="s">
        <v>40</v>
      </c>
      <c r="F458" t="s">
        <v>73</v>
      </c>
      <c r="G458">
        <v>3174.3</v>
      </c>
      <c r="H458">
        <v>2720.84</v>
      </c>
      <c r="I458">
        <v>453.46</v>
      </c>
      <c r="J458">
        <v>6</v>
      </c>
      <c r="K458">
        <v>5</v>
      </c>
      <c r="L458" t="s">
        <v>22</v>
      </c>
      <c r="M458" t="s">
        <v>54</v>
      </c>
      <c r="N458">
        <v>3</v>
      </c>
      <c r="O458" t="s">
        <v>56</v>
      </c>
    </row>
    <row r="459" spans="1:15" x14ac:dyDescent="0.3">
      <c r="A459" t="s">
        <v>903</v>
      </c>
      <c r="B459" s="3">
        <v>45614</v>
      </c>
      <c r="C459" t="s">
        <v>59</v>
      </c>
      <c r="D459" t="s">
        <v>116</v>
      </c>
      <c r="E459" t="s">
        <v>40</v>
      </c>
      <c r="F459" t="s">
        <v>36</v>
      </c>
      <c r="G459">
        <v>1142.19</v>
      </c>
      <c r="H459">
        <v>815.52</v>
      </c>
      <c r="I459">
        <v>326.67</v>
      </c>
      <c r="J459">
        <v>8</v>
      </c>
      <c r="K459">
        <v>3</v>
      </c>
      <c r="L459" t="s">
        <v>29</v>
      </c>
      <c r="M459" t="s">
        <v>111</v>
      </c>
      <c r="N459">
        <v>4</v>
      </c>
      <c r="O459" t="s">
        <v>21</v>
      </c>
    </row>
    <row r="460" spans="1:15" x14ac:dyDescent="0.3">
      <c r="A460" t="s">
        <v>905</v>
      </c>
      <c r="B460" s="3">
        <v>45497</v>
      </c>
      <c r="C460" t="s">
        <v>42</v>
      </c>
      <c r="D460" t="s">
        <v>214</v>
      </c>
      <c r="E460" t="s">
        <v>19</v>
      </c>
      <c r="F460" t="s">
        <v>36</v>
      </c>
      <c r="G460">
        <v>2054.44</v>
      </c>
      <c r="H460">
        <v>1729.49</v>
      </c>
      <c r="I460">
        <v>324.95</v>
      </c>
      <c r="K460">
        <v>5</v>
      </c>
      <c r="L460" t="s">
        <v>29</v>
      </c>
      <c r="M460" t="s">
        <v>54</v>
      </c>
      <c r="N460">
        <v>3</v>
      </c>
      <c r="O460" t="s">
        <v>21</v>
      </c>
    </row>
    <row r="461" spans="1:15" x14ac:dyDescent="0.3">
      <c r="A461" t="s">
        <v>906</v>
      </c>
      <c r="B461" s="3">
        <v>45316</v>
      </c>
      <c r="C461" t="s">
        <v>17</v>
      </c>
      <c r="D461" t="s">
        <v>226</v>
      </c>
      <c r="E461" t="s">
        <v>40</v>
      </c>
      <c r="F461" t="s">
        <v>28</v>
      </c>
      <c r="G461">
        <v>2936.11</v>
      </c>
      <c r="H461">
        <v>1659.11</v>
      </c>
      <c r="I461">
        <v>1277</v>
      </c>
      <c r="J461">
        <v>1</v>
      </c>
      <c r="K461">
        <v>5</v>
      </c>
      <c r="L461" t="s">
        <v>22</v>
      </c>
      <c r="M461" t="s">
        <v>25</v>
      </c>
      <c r="N461">
        <v>1</v>
      </c>
      <c r="O461" t="s">
        <v>56</v>
      </c>
    </row>
    <row r="462" spans="1:15" x14ac:dyDescent="0.3">
      <c r="A462" t="s">
        <v>908</v>
      </c>
      <c r="B462" s="3">
        <v>45322</v>
      </c>
      <c r="C462" t="s">
        <v>33</v>
      </c>
      <c r="D462" t="s">
        <v>297</v>
      </c>
      <c r="E462" t="s">
        <v>87</v>
      </c>
      <c r="F462" t="s">
        <v>36</v>
      </c>
      <c r="G462">
        <v>1101.45</v>
      </c>
      <c r="H462">
        <v>823.11</v>
      </c>
      <c r="I462">
        <v>278.33999999999997</v>
      </c>
      <c r="J462">
        <v>1</v>
      </c>
      <c r="K462">
        <v>1</v>
      </c>
      <c r="L462" t="s">
        <v>22</v>
      </c>
      <c r="M462" t="s">
        <v>25</v>
      </c>
      <c r="N462">
        <v>1</v>
      </c>
      <c r="O462" t="s">
        <v>56</v>
      </c>
    </row>
    <row r="463" spans="1:15" x14ac:dyDescent="0.3">
      <c r="A463" t="s">
        <v>910</v>
      </c>
      <c r="B463" s="3">
        <v>45456</v>
      </c>
      <c r="C463" t="s">
        <v>17</v>
      </c>
      <c r="D463" t="s">
        <v>96</v>
      </c>
      <c r="E463" t="s">
        <v>87</v>
      </c>
      <c r="F463" t="s">
        <v>44</v>
      </c>
      <c r="G463">
        <v>2030.2</v>
      </c>
      <c r="H463">
        <v>1426.04</v>
      </c>
      <c r="I463">
        <v>604.16</v>
      </c>
      <c r="K463">
        <v>4</v>
      </c>
      <c r="L463" t="s">
        <v>22</v>
      </c>
      <c r="M463" t="s">
        <v>64</v>
      </c>
      <c r="N463">
        <v>2</v>
      </c>
      <c r="O463" t="s">
        <v>21</v>
      </c>
    </row>
    <row r="464" spans="1:15" x14ac:dyDescent="0.3">
      <c r="A464" t="s">
        <v>911</v>
      </c>
      <c r="B464" s="3">
        <v>45541</v>
      </c>
      <c r="C464" t="s">
        <v>17</v>
      </c>
      <c r="D464" t="s">
        <v>96</v>
      </c>
      <c r="E464" t="s">
        <v>19</v>
      </c>
      <c r="F464" t="s">
        <v>36</v>
      </c>
      <c r="G464">
        <v>526.59</v>
      </c>
      <c r="H464">
        <v>411.55</v>
      </c>
      <c r="I464">
        <v>115.04</v>
      </c>
      <c r="K464">
        <v>5</v>
      </c>
      <c r="L464" t="s">
        <v>22</v>
      </c>
      <c r="M464" t="s">
        <v>115</v>
      </c>
      <c r="N464">
        <v>3</v>
      </c>
      <c r="O464" t="s">
        <v>21</v>
      </c>
    </row>
    <row r="465" spans="1:15" x14ac:dyDescent="0.3">
      <c r="A465" t="s">
        <v>913</v>
      </c>
      <c r="B465" s="3">
        <v>45623</v>
      </c>
      <c r="C465" t="s">
        <v>42</v>
      </c>
      <c r="D465" t="s">
        <v>80</v>
      </c>
      <c r="E465" t="s">
        <v>40</v>
      </c>
      <c r="F465" t="s">
        <v>44</v>
      </c>
      <c r="G465">
        <v>1907.67</v>
      </c>
      <c r="H465">
        <v>1457.37</v>
      </c>
      <c r="I465">
        <v>450.3</v>
      </c>
      <c r="J465">
        <v>8</v>
      </c>
      <c r="K465">
        <v>5</v>
      </c>
      <c r="L465" t="s">
        <v>22</v>
      </c>
      <c r="M465" t="s">
        <v>111</v>
      </c>
      <c r="N465">
        <v>4</v>
      </c>
      <c r="O465" t="s">
        <v>56</v>
      </c>
    </row>
    <row r="466" spans="1:15" x14ac:dyDescent="0.3">
      <c r="A466" t="s">
        <v>915</v>
      </c>
      <c r="B466" s="3">
        <v>45309</v>
      </c>
      <c r="C466" t="s">
        <v>17</v>
      </c>
      <c r="D466" t="s">
        <v>100</v>
      </c>
      <c r="E466" t="s">
        <v>1716</v>
      </c>
      <c r="F466" t="s">
        <v>44</v>
      </c>
      <c r="G466">
        <v>2311.12</v>
      </c>
      <c r="H466">
        <v>1787.2</v>
      </c>
      <c r="I466">
        <v>523.91999999999996</v>
      </c>
      <c r="J466">
        <v>3</v>
      </c>
      <c r="K466">
        <v>2</v>
      </c>
      <c r="L466" t="s">
        <v>22</v>
      </c>
      <c r="M466" t="s">
        <v>25</v>
      </c>
      <c r="N466">
        <v>1</v>
      </c>
      <c r="O466" t="s">
        <v>56</v>
      </c>
    </row>
    <row r="467" spans="1:15" x14ac:dyDescent="0.3">
      <c r="A467" t="s">
        <v>917</v>
      </c>
      <c r="B467" s="3">
        <v>45394</v>
      </c>
      <c r="C467" t="s">
        <v>42</v>
      </c>
      <c r="D467" t="s">
        <v>214</v>
      </c>
      <c r="E467" t="s">
        <v>84</v>
      </c>
      <c r="F467" t="s">
        <v>36</v>
      </c>
      <c r="G467">
        <v>3343.32</v>
      </c>
      <c r="H467">
        <v>2596.6999999999998</v>
      </c>
      <c r="I467">
        <v>746.62</v>
      </c>
      <c r="K467">
        <v>4</v>
      </c>
      <c r="L467" t="s">
        <v>22</v>
      </c>
      <c r="M467" t="s">
        <v>16</v>
      </c>
      <c r="N467">
        <v>2</v>
      </c>
      <c r="O467" t="s">
        <v>21</v>
      </c>
    </row>
    <row r="468" spans="1:15" x14ac:dyDescent="0.3">
      <c r="A468" t="s">
        <v>918</v>
      </c>
      <c r="B468" s="3">
        <v>45574</v>
      </c>
      <c r="C468" t="s">
        <v>7</v>
      </c>
      <c r="D468" t="s">
        <v>185</v>
      </c>
      <c r="E468" t="s">
        <v>27</v>
      </c>
      <c r="F468" t="s">
        <v>44</v>
      </c>
      <c r="G468">
        <v>2564.81</v>
      </c>
      <c r="H468">
        <v>1548.52</v>
      </c>
      <c r="I468">
        <v>1016.29</v>
      </c>
      <c r="K468">
        <v>5</v>
      </c>
      <c r="L468" t="s">
        <v>22</v>
      </c>
      <c r="M468" t="s">
        <v>68</v>
      </c>
      <c r="N468">
        <v>4</v>
      </c>
      <c r="O468" t="s">
        <v>21</v>
      </c>
    </row>
    <row r="469" spans="1:15" x14ac:dyDescent="0.3">
      <c r="A469" t="s">
        <v>919</v>
      </c>
      <c r="B469" s="3">
        <v>45512</v>
      </c>
      <c r="C469" t="s">
        <v>17</v>
      </c>
      <c r="D469" t="s">
        <v>96</v>
      </c>
      <c r="E469" t="s">
        <v>87</v>
      </c>
      <c r="F469" t="s">
        <v>36</v>
      </c>
      <c r="G469">
        <v>1300.5</v>
      </c>
      <c r="H469">
        <v>1011.99</v>
      </c>
      <c r="I469">
        <v>288.51</v>
      </c>
      <c r="J469">
        <v>5</v>
      </c>
      <c r="K469">
        <v>4</v>
      </c>
      <c r="L469" t="s">
        <v>29</v>
      </c>
      <c r="M469" t="s">
        <v>32</v>
      </c>
      <c r="N469">
        <v>3</v>
      </c>
      <c r="O469" t="s">
        <v>56</v>
      </c>
    </row>
    <row r="470" spans="1:15" x14ac:dyDescent="0.3">
      <c r="A470" t="s">
        <v>920</v>
      </c>
      <c r="B470" s="3">
        <v>45600</v>
      </c>
      <c r="C470" t="s">
        <v>17</v>
      </c>
      <c r="D470" t="s">
        <v>100</v>
      </c>
      <c r="E470" t="s">
        <v>35</v>
      </c>
      <c r="F470" t="s">
        <v>73</v>
      </c>
      <c r="G470">
        <v>2861.57</v>
      </c>
      <c r="H470">
        <v>1574.38</v>
      </c>
      <c r="I470">
        <v>1287.19</v>
      </c>
      <c r="K470">
        <v>3</v>
      </c>
      <c r="L470" t="s">
        <v>22</v>
      </c>
      <c r="M470" t="s">
        <v>111</v>
      </c>
      <c r="N470">
        <v>4</v>
      </c>
      <c r="O470" t="s">
        <v>21</v>
      </c>
    </row>
    <row r="471" spans="1:15" x14ac:dyDescent="0.3">
      <c r="A471" t="s">
        <v>922</v>
      </c>
      <c r="B471" s="3">
        <v>45574</v>
      </c>
      <c r="C471" t="s">
        <v>42</v>
      </c>
      <c r="D471" t="s">
        <v>80</v>
      </c>
      <c r="E471" t="s">
        <v>35</v>
      </c>
      <c r="F471" t="s">
        <v>28</v>
      </c>
      <c r="G471">
        <v>666.34</v>
      </c>
      <c r="H471">
        <v>507.94</v>
      </c>
      <c r="I471">
        <v>158.4</v>
      </c>
      <c r="K471">
        <v>4</v>
      </c>
      <c r="L471" t="s">
        <v>29</v>
      </c>
      <c r="M471" t="s">
        <v>68</v>
      </c>
      <c r="N471">
        <v>4</v>
      </c>
      <c r="O471" t="s">
        <v>21</v>
      </c>
    </row>
    <row r="472" spans="1:15" x14ac:dyDescent="0.3">
      <c r="A472" t="s">
        <v>923</v>
      </c>
      <c r="B472" s="3">
        <v>45441</v>
      </c>
      <c r="C472" t="s">
        <v>17</v>
      </c>
      <c r="D472" t="s">
        <v>469</v>
      </c>
      <c r="E472" t="s">
        <v>27</v>
      </c>
      <c r="F472" t="s">
        <v>44</v>
      </c>
      <c r="G472">
        <v>783.35</v>
      </c>
      <c r="H472">
        <v>435.16</v>
      </c>
      <c r="I472">
        <v>348.19</v>
      </c>
      <c r="K472">
        <v>4</v>
      </c>
      <c r="L472" t="s">
        <v>22</v>
      </c>
      <c r="M472" t="s">
        <v>104</v>
      </c>
      <c r="N472">
        <v>2</v>
      </c>
      <c r="O472" t="s">
        <v>21</v>
      </c>
    </row>
    <row r="473" spans="1:15" x14ac:dyDescent="0.3">
      <c r="A473" t="s">
        <v>924</v>
      </c>
      <c r="B473" s="3">
        <v>45380</v>
      </c>
      <c r="C473" t="s">
        <v>33</v>
      </c>
      <c r="D473" t="s">
        <v>39</v>
      </c>
      <c r="E473" t="s">
        <v>27</v>
      </c>
      <c r="F473" t="s">
        <v>20</v>
      </c>
      <c r="G473">
        <v>2008.96</v>
      </c>
      <c r="H473">
        <v>1350.85</v>
      </c>
      <c r="I473">
        <v>658.11</v>
      </c>
      <c r="K473">
        <v>5</v>
      </c>
      <c r="L473" t="s">
        <v>22</v>
      </c>
      <c r="M473" t="s">
        <v>76</v>
      </c>
      <c r="N473">
        <v>1</v>
      </c>
      <c r="O473" t="s">
        <v>21</v>
      </c>
    </row>
    <row r="474" spans="1:15" x14ac:dyDescent="0.3">
      <c r="A474" t="s">
        <v>926</v>
      </c>
      <c r="B474" s="3">
        <v>45591</v>
      </c>
      <c r="C474" t="s">
        <v>59</v>
      </c>
      <c r="D474" t="s">
        <v>194</v>
      </c>
      <c r="E474" t="s">
        <v>35</v>
      </c>
      <c r="F474" t="s">
        <v>20</v>
      </c>
      <c r="G474">
        <v>861.53</v>
      </c>
      <c r="H474">
        <v>688.79</v>
      </c>
      <c r="I474">
        <v>172.74</v>
      </c>
      <c r="K474">
        <v>4</v>
      </c>
      <c r="L474" t="s">
        <v>29</v>
      </c>
      <c r="M474" t="s">
        <v>68</v>
      </c>
      <c r="N474">
        <v>4</v>
      </c>
      <c r="O474" t="s">
        <v>21</v>
      </c>
    </row>
    <row r="475" spans="1:15" x14ac:dyDescent="0.3">
      <c r="A475" t="s">
        <v>929</v>
      </c>
      <c r="B475" s="3">
        <v>45610</v>
      </c>
      <c r="C475" t="s">
        <v>33</v>
      </c>
      <c r="D475" t="s">
        <v>39</v>
      </c>
      <c r="E475" t="s">
        <v>84</v>
      </c>
      <c r="F475" t="s">
        <v>36</v>
      </c>
      <c r="G475">
        <v>2255.63</v>
      </c>
      <c r="H475">
        <v>1387.59</v>
      </c>
      <c r="I475">
        <v>868.04</v>
      </c>
      <c r="K475">
        <v>4</v>
      </c>
      <c r="L475" t="s">
        <v>22</v>
      </c>
      <c r="M475" t="s">
        <v>111</v>
      </c>
      <c r="N475">
        <v>4</v>
      </c>
      <c r="O475" t="s">
        <v>21</v>
      </c>
    </row>
    <row r="476" spans="1:15" x14ac:dyDescent="0.3">
      <c r="A476" t="s">
        <v>931</v>
      </c>
      <c r="B476" s="3">
        <v>45336</v>
      </c>
      <c r="C476" t="s">
        <v>17</v>
      </c>
      <c r="D476" t="s">
        <v>18</v>
      </c>
      <c r="E476" t="s">
        <v>1716</v>
      </c>
      <c r="F476" t="s">
        <v>28</v>
      </c>
      <c r="G476">
        <v>2046.73</v>
      </c>
      <c r="H476">
        <v>1362.61</v>
      </c>
      <c r="I476">
        <v>684.12</v>
      </c>
      <c r="K476">
        <v>3</v>
      </c>
      <c r="L476" t="s">
        <v>22</v>
      </c>
      <c r="M476" t="s">
        <v>124</v>
      </c>
      <c r="N476">
        <v>1</v>
      </c>
      <c r="O476" t="s">
        <v>21</v>
      </c>
    </row>
    <row r="477" spans="1:15" x14ac:dyDescent="0.3">
      <c r="A477" t="s">
        <v>932</v>
      </c>
      <c r="B477" s="3">
        <v>45576</v>
      </c>
      <c r="C477" t="s">
        <v>42</v>
      </c>
      <c r="D477" t="s">
        <v>162</v>
      </c>
      <c r="E477" t="s">
        <v>40</v>
      </c>
      <c r="F477" t="s">
        <v>36</v>
      </c>
      <c r="G477">
        <v>2263.41</v>
      </c>
      <c r="H477">
        <v>2002.65</v>
      </c>
      <c r="I477">
        <v>260.76</v>
      </c>
      <c r="J477">
        <v>6</v>
      </c>
      <c r="K477">
        <v>1</v>
      </c>
      <c r="L477" t="s">
        <v>22</v>
      </c>
      <c r="M477" t="s">
        <v>68</v>
      </c>
      <c r="N477">
        <v>4</v>
      </c>
      <c r="O477" t="s">
        <v>56</v>
      </c>
    </row>
    <row r="478" spans="1:15" x14ac:dyDescent="0.3">
      <c r="A478" t="s">
        <v>934</v>
      </c>
      <c r="B478" s="3">
        <v>45571</v>
      </c>
      <c r="C478" t="s">
        <v>59</v>
      </c>
      <c r="D478" t="s">
        <v>108</v>
      </c>
      <c r="E478" t="s">
        <v>84</v>
      </c>
      <c r="F478" t="s">
        <v>36</v>
      </c>
      <c r="G478">
        <v>972.94</v>
      </c>
      <c r="H478">
        <v>731.95</v>
      </c>
      <c r="I478">
        <v>240.99</v>
      </c>
      <c r="K478">
        <v>5</v>
      </c>
      <c r="L478" t="s">
        <v>22</v>
      </c>
      <c r="M478" t="s">
        <v>68</v>
      </c>
      <c r="N478">
        <v>4</v>
      </c>
      <c r="O478" t="s">
        <v>21</v>
      </c>
    </row>
    <row r="479" spans="1:15" x14ac:dyDescent="0.3">
      <c r="A479" t="s">
        <v>935</v>
      </c>
      <c r="B479" s="3">
        <v>45367</v>
      </c>
      <c r="C479" t="s">
        <v>42</v>
      </c>
      <c r="D479" t="s">
        <v>262</v>
      </c>
      <c r="E479" t="s">
        <v>27</v>
      </c>
      <c r="F479" t="s">
        <v>36</v>
      </c>
      <c r="G479">
        <v>1458.51</v>
      </c>
      <c r="H479">
        <v>1252.42</v>
      </c>
      <c r="I479">
        <v>206.09</v>
      </c>
      <c r="K479">
        <v>4</v>
      </c>
      <c r="L479" t="s">
        <v>22</v>
      </c>
      <c r="M479" t="s">
        <v>76</v>
      </c>
      <c r="N479">
        <v>1</v>
      </c>
      <c r="O479" t="s">
        <v>21</v>
      </c>
    </row>
    <row r="480" spans="1:15" x14ac:dyDescent="0.3">
      <c r="A480" t="s">
        <v>937</v>
      </c>
      <c r="B480" s="3">
        <v>45623</v>
      </c>
      <c r="C480" t="s">
        <v>42</v>
      </c>
      <c r="D480" t="s">
        <v>162</v>
      </c>
      <c r="E480" t="s">
        <v>84</v>
      </c>
      <c r="F480" t="s">
        <v>44</v>
      </c>
      <c r="G480">
        <v>1399.99</v>
      </c>
      <c r="H480">
        <v>1272.43</v>
      </c>
      <c r="I480">
        <v>127.56</v>
      </c>
      <c r="J480">
        <v>13</v>
      </c>
      <c r="K480">
        <v>3</v>
      </c>
      <c r="L480" t="s">
        <v>29</v>
      </c>
      <c r="M480" t="s">
        <v>111</v>
      </c>
      <c r="N480">
        <v>4</v>
      </c>
      <c r="O480" t="s">
        <v>21</v>
      </c>
    </row>
    <row r="481" spans="1:15" x14ac:dyDescent="0.3">
      <c r="A481" t="s">
        <v>939</v>
      </c>
      <c r="B481" s="3">
        <v>45307</v>
      </c>
      <c r="C481" t="s">
        <v>7</v>
      </c>
      <c r="D481" t="s">
        <v>65</v>
      </c>
      <c r="E481" t="s">
        <v>40</v>
      </c>
      <c r="F481" t="s">
        <v>28</v>
      </c>
      <c r="G481">
        <v>2300.4899999999998</v>
      </c>
      <c r="H481">
        <v>1365.29</v>
      </c>
      <c r="I481">
        <v>935.2</v>
      </c>
      <c r="K481">
        <v>5</v>
      </c>
      <c r="L481" t="s">
        <v>22</v>
      </c>
      <c r="M481" t="s">
        <v>25</v>
      </c>
      <c r="N481">
        <v>1</v>
      </c>
      <c r="O481" t="s">
        <v>21</v>
      </c>
    </row>
    <row r="482" spans="1:15" x14ac:dyDescent="0.3">
      <c r="A482" t="s">
        <v>941</v>
      </c>
      <c r="B482" s="3">
        <v>45339</v>
      </c>
      <c r="C482" t="s">
        <v>17</v>
      </c>
      <c r="D482" t="s">
        <v>226</v>
      </c>
      <c r="E482" t="s">
        <v>87</v>
      </c>
      <c r="F482" t="s">
        <v>36</v>
      </c>
      <c r="G482">
        <v>3310.76</v>
      </c>
      <c r="H482">
        <v>1827.94</v>
      </c>
      <c r="I482">
        <v>1482.82</v>
      </c>
      <c r="K482">
        <v>4</v>
      </c>
      <c r="L482" t="s">
        <v>22</v>
      </c>
      <c r="M482" t="s">
        <v>124</v>
      </c>
      <c r="N482">
        <v>1</v>
      </c>
      <c r="O482" t="s">
        <v>21</v>
      </c>
    </row>
    <row r="483" spans="1:15" x14ac:dyDescent="0.3">
      <c r="A483" t="s">
        <v>942</v>
      </c>
      <c r="B483" s="3">
        <v>45355</v>
      </c>
      <c r="C483" t="s">
        <v>17</v>
      </c>
      <c r="D483" t="s">
        <v>72</v>
      </c>
      <c r="E483" t="s">
        <v>84</v>
      </c>
      <c r="F483" t="s">
        <v>28</v>
      </c>
      <c r="G483">
        <v>3132.19</v>
      </c>
      <c r="H483">
        <v>2439.38</v>
      </c>
      <c r="I483">
        <v>692.81</v>
      </c>
      <c r="K483">
        <v>5</v>
      </c>
      <c r="L483" t="s">
        <v>22</v>
      </c>
      <c r="M483" t="s">
        <v>76</v>
      </c>
      <c r="N483">
        <v>1</v>
      </c>
      <c r="O483" t="s">
        <v>21</v>
      </c>
    </row>
    <row r="484" spans="1:15" x14ac:dyDescent="0.3">
      <c r="A484" t="s">
        <v>944</v>
      </c>
      <c r="B484" s="3">
        <v>45528</v>
      </c>
      <c r="C484" t="s">
        <v>7</v>
      </c>
      <c r="D484" t="s">
        <v>1698</v>
      </c>
      <c r="E484" t="s">
        <v>27</v>
      </c>
      <c r="F484" t="s">
        <v>20</v>
      </c>
      <c r="G484">
        <v>1534.38</v>
      </c>
      <c r="H484">
        <v>915.86</v>
      </c>
      <c r="I484">
        <v>618.52</v>
      </c>
      <c r="K484">
        <v>4</v>
      </c>
      <c r="L484" t="s">
        <v>29</v>
      </c>
      <c r="M484" t="s">
        <v>32</v>
      </c>
      <c r="N484">
        <v>3</v>
      </c>
      <c r="O484" t="s">
        <v>21</v>
      </c>
    </row>
    <row r="485" spans="1:15" x14ac:dyDescent="0.3">
      <c r="A485" t="s">
        <v>945</v>
      </c>
      <c r="B485" s="3">
        <v>45624</v>
      </c>
      <c r="C485" t="s">
        <v>42</v>
      </c>
      <c r="D485" t="s">
        <v>214</v>
      </c>
      <c r="E485" t="s">
        <v>27</v>
      </c>
      <c r="F485" t="s">
        <v>20</v>
      </c>
      <c r="G485">
        <v>1161.25</v>
      </c>
      <c r="H485">
        <v>1036.27</v>
      </c>
      <c r="I485">
        <v>124.98</v>
      </c>
      <c r="J485">
        <v>6</v>
      </c>
      <c r="K485">
        <v>3</v>
      </c>
      <c r="L485" t="s">
        <v>22</v>
      </c>
      <c r="M485" t="s">
        <v>111</v>
      </c>
      <c r="N485">
        <v>4</v>
      </c>
      <c r="O485" t="s">
        <v>56</v>
      </c>
    </row>
    <row r="486" spans="1:15" x14ac:dyDescent="0.3">
      <c r="A486" t="s">
        <v>946</v>
      </c>
      <c r="B486" s="3">
        <v>45317</v>
      </c>
      <c r="C486" t="s">
        <v>7</v>
      </c>
      <c r="D486" t="s">
        <v>134</v>
      </c>
      <c r="E486" t="s">
        <v>87</v>
      </c>
      <c r="F486" t="s">
        <v>20</v>
      </c>
      <c r="G486">
        <v>712.76</v>
      </c>
      <c r="H486">
        <v>494.28</v>
      </c>
      <c r="I486">
        <v>218.48</v>
      </c>
      <c r="K486">
        <v>4</v>
      </c>
      <c r="L486" t="s">
        <v>22</v>
      </c>
      <c r="M486" t="s">
        <v>25</v>
      </c>
      <c r="N486">
        <v>1</v>
      </c>
      <c r="O486" t="s">
        <v>21</v>
      </c>
    </row>
    <row r="487" spans="1:15" x14ac:dyDescent="0.3">
      <c r="A487" t="s">
        <v>947</v>
      </c>
      <c r="B487" s="3">
        <v>45548</v>
      </c>
      <c r="C487" t="s">
        <v>7</v>
      </c>
      <c r="D487" t="s">
        <v>69</v>
      </c>
      <c r="E487" t="s">
        <v>87</v>
      </c>
      <c r="F487" t="s">
        <v>44</v>
      </c>
      <c r="G487">
        <v>825.74</v>
      </c>
      <c r="H487">
        <v>484.67</v>
      </c>
      <c r="I487">
        <v>341.07</v>
      </c>
      <c r="K487">
        <v>5</v>
      </c>
      <c r="L487" t="s">
        <v>22</v>
      </c>
      <c r="M487" t="s">
        <v>115</v>
      </c>
      <c r="N487">
        <v>3</v>
      </c>
      <c r="O487" t="s">
        <v>21</v>
      </c>
    </row>
    <row r="488" spans="1:15" x14ac:dyDescent="0.3">
      <c r="A488" t="s">
        <v>949</v>
      </c>
      <c r="B488" s="3">
        <v>45497</v>
      </c>
      <c r="C488" t="s">
        <v>7</v>
      </c>
      <c r="D488" t="s">
        <v>65</v>
      </c>
      <c r="E488" t="s">
        <v>84</v>
      </c>
      <c r="F488" t="s">
        <v>44</v>
      </c>
      <c r="G488">
        <v>2128.3000000000002</v>
      </c>
      <c r="H488">
        <v>1297.5</v>
      </c>
      <c r="I488">
        <v>830.8</v>
      </c>
      <c r="K488">
        <v>4</v>
      </c>
      <c r="L488" t="s">
        <v>22</v>
      </c>
      <c r="M488" t="s">
        <v>54</v>
      </c>
      <c r="N488">
        <v>3</v>
      </c>
      <c r="O488" t="s">
        <v>21</v>
      </c>
    </row>
    <row r="489" spans="1:15" x14ac:dyDescent="0.3">
      <c r="A489" t="s">
        <v>950</v>
      </c>
      <c r="B489" s="3">
        <v>45345</v>
      </c>
      <c r="C489" t="s">
        <v>42</v>
      </c>
      <c r="D489" t="s">
        <v>214</v>
      </c>
      <c r="E489" t="s">
        <v>40</v>
      </c>
      <c r="F489" t="s">
        <v>299</v>
      </c>
      <c r="G489">
        <v>1863.81</v>
      </c>
      <c r="H489">
        <v>1557.95</v>
      </c>
      <c r="I489">
        <v>305.86</v>
      </c>
      <c r="J489">
        <v>10</v>
      </c>
      <c r="K489">
        <v>1</v>
      </c>
      <c r="L489" t="s">
        <v>29</v>
      </c>
      <c r="M489" t="s">
        <v>124</v>
      </c>
      <c r="N489">
        <v>1</v>
      </c>
      <c r="O489" t="s">
        <v>56</v>
      </c>
    </row>
    <row r="490" spans="1:15" x14ac:dyDescent="0.3">
      <c r="A490" t="s">
        <v>951</v>
      </c>
      <c r="B490" s="3">
        <v>45334</v>
      </c>
      <c r="C490" t="s">
        <v>59</v>
      </c>
      <c r="D490" t="s">
        <v>60</v>
      </c>
      <c r="E490" t="s">
        <v>35</v>
      </c>
      <c r="F490" t="s">
        <v>36</v>
      </c>
      <c r="G490">
        <v>2585.7199999999998</v>
      </c>
      <c r="H490">
        <v>1473.17</v>
      </c>
      <c r="I490">
        <v>1112.55</v>
      </c>
      <c r="K490">
        <v>3</v>
      </c>
      <c r="L490" t="s">
        <v>22</v>
      </c>
      <c r="M490" t="s">
        <v>124</v>
      </c>
      <c r="N490">
        <v>1</v>
      </c>
      <c r="O490" t="s">
        <v>21</v>
      </c>
    </row>
    <row r="491" spans="1:15" x14ac:dyDescent="0.3">
      <c r="A491" t="s">
        <v>953</v>
      </c>
      <c r="B491" s="3">
        <v>45329</v>
      </c>
      <c r="C491" t="s">
        <v>59</v>
      </c>
      <c r="D491" t="s">
        <v>155</v>
      </c>
      <c r="E491" t="s">
        <v>84</v>
      </c>
      <c r="F491" t="s">
        <v>36</v>
      </c>
      <c r="G491">
        <v>1078.9100000000001</v>
      </c>
      <c r="H491">
        <v>610.23</v>
      </c>
      <c r="I491">
        <v>468.68</v>
      </c>
      <c r="K491">
        <v>5</v>
      </c>
      <c r="L491" t="s">
        <v>22</v>
      </c>
      <c r="M491" t="s">
        <v>124</v>
      </c>
      <c r="N491">
        <v>1</v>
      </c>
      <c r="O491" t="s">
        <v>21</v>
      </c>
    </row>
    <row r="492" spans="1:15" x14ac:dyDescent="0.3">
      <c r="A492" t="s">
        <v>955</v>
      </c>
      <c r="B492" s="3">
        <v>45497</v>
      </c>
      <c r="C492" t="s">
        <v>59</v>
      </c>
      <c r="D492" t="s">
        <v>301</v>
      </c>
      <c r="E492" t="s">
        <v>40</v>
      </c>
      <c r="F492" t="s">
        <v>73</v>
      </c>
      <c r="G492">
        <v>321.38</v>
      </c>
      <c r="H492">
        <v>221.9</v>
      </c>
      <c r="I492">
        <v>99.48</v>
      </c>
      <c r="K492">
        <v>4</v>
      </c>
      <c r="L492" t="s">
        <v>22</v>
      </c>
      <c r="M492" t="s">
        <v>54</v>
      </c>
      <c r="N492">
        <v>3</v>
      </c>
      <c r="O492" t="s">
        <v>21</v>
      </c>
    </row>
    <row r="493" spans="1:15" x14ac:dyDescent="0.3">
      <c r="A493" t="s">
        <v>957</v>
      </c>
      <c r="B493" s="3">
        <v>45319</v>
      </c>
      <c r="C493" t="s">
        <v>17</v>
      </c>
      <c r="D493" t="s">
        <v>1698</v>
      </c>
      <c r="E493" t="s">
        <v>40</v>
      </c>
      <c r="F493" t="s">
        <v>20</v>
      </c>
      <c r="G493">
        <v>2405.77</v>
      </c>
      <c r="H493">
        <v>1915.09</v>
      </c>
      <c r="I493">
        <v>490.68</v>
      </c>
      <c r="J493">
        <v>2</v>
      </c>
      <c r="K493">
        <v>2</v>
      </c>
      <c r="L493" t="s">
        <v>22</v>
      </c>
      <c r="M493" t="s">
        <v>25</v>
      </c>
      <c r="N493">
        <v>1</v>
      </c>
      <c r="O493" t="s">
        <v>56</v>
      </c>
    </row>
    <row r="494" spans="1:15" x14ac:dyDescent="0.3">
      <c r="A494" t="s">
        <v>958</v>
      </c>
      <c r="B494" s="3">
        <v>45354</v>
      </c>
      <c r="C494" t="s">
        <v>7</v>
      </c>
      <c r="D494" t="s">
        <v>134</v>
      </c>
      <c r="E494" t="s">
        <v>84</v>
      </c>
      <c r="F494" t="s">
        <v>44</v>
      </c>
      <c r="G494">
        <v>2476.98</v>
      </c>
      <c r="H494">
        <v>1532.27</v>
      </c>
      <c r="I494">
        <v>944.71</v>
      </c>
      <c r="K494">
        <v>5</v>
      </c>
      <c r="L494" t="s">
        <v>29</v>
      </c>
      <c r="M494" t="s">
        <v>76</v>
      </c>
      <c r="N494">
        <v>1</v>
      </c>
      <c r="O494" t="s">
        <v>21</v>
      </c>
    </row>
    <row r="495" spans="1:15" x14ac:dyDescent="0.3">
      <c r="A495" t="s">
        <v>959</v>
      </c>
      <c r="B495" s="3">
        <v>45444</v>
      </c>
      <c r="C495" t="s">
        <v>33</v>
      </c>
      <c r="D495" t="s">
        <v>93</v>
      </c>
      <c r="E495" t="s">
        <v>84</v>
      </c>
      <c r="F495" t="s">
        <v>44</v>
      </c>
      <c r="G495">
        <v>945.79</v>
      </c>
      <c r="H495">
        <v>531.91999999999996</v>
      </c>
      <c r="I495">
        <v>413.87</v>
      </c>
      <c r="J495">
        <v>7</v>
      </c>
      <c r="K495">
        <v>1</v>
      </c>
      <c r="L495" t="s">
        <v>22</v>
      </c>
      <c r="M495" t="s">
        <v>64</v>
      </c>
      <c r="N495">
        <v>2</v>
      </c>
      <c r="O495" t="s">
        <v>56</v>
      </c>
    </row>
    <row r="496" spans="1:15" x14ac:dyDescent="0.3">
      <c r="A496" t="s">
        <v>961</v>
      </c>
      <c r="B496" s="3">
        <v>45546</v>
      </c>
      <c r="C496" t="s">
        <v>17</v>
      </c>
      <c r="D496" t="s">
        <v>469</v>
      </c>
      <c r="E496" t="s">
        <v>84</v>
      </c>
      <c r="F496" t="s">
        <v>44</v>
      </c>
      <c r="G496">
        <v>154.87</v>
      </c>
      <c r="H496">
        <v>89.62</v>
      </c>
      <c r="I496">
        <v>65.25</v>
      </c>
      <c r="K496">
        <v>4</v>
      </c>
      <c r="L496" t="s">
        <v>22</v>
      </c>
      <c r="M496" t="s">
        <v>115</v>
      </c>
      <c r="N496">
        <v>3</v>
      </c>
      <c r="O496" t="s">
        <v>21</v>
      </c>
    </row>
    <row r="497" spans="1:15" x14ac:dyDescent="0.3">
      <c r="A497" t="s">
        <v>962</v>
      </c>
      <c r="B497" s="3">
        <v>45344</v>
      </c>
      <c r="C497" t="s">
        <v>7</v>
      </c>
      <c r="D497" t="s">
        <v>182</v>
      </c>
      <c r="E497" t="s">
        <v>27</v>
      </c>
      <c r="F497" t="s">
        <v>28</v>
      </c>
      <c r="G497">
        <v>1199.73</v>
      </c>
      <c r="H497">
        <v>924.09</v>
      </c>
      <c r="I497">
        <v>275.64</v>
      </c>
      <c r="K497">
        <v>5</v>
      </c>
      <c r="L497" t="s">
        <v>22</v>
      </c>
      <c r="M497" t="s">
        <v>124</v>
      </c>
      <c r="N497">
        <v>1</v>
      </c>
      <c r="O497" t="s">
        <v>21</v>
      </c>
    </row>
    <row r="498" spans="1:15" x14ac:dyDescent="0.3">
      <c r="A498" t="s">
        <v>963</v>
      </c>
      <c r="B498" s="3">
        <v>45628</v>
      </c>
      <c r="C498" t="s">
        <v>59</v>
      </c>
      <c r="D498" t="s">
        <v>194</v>
      </c>
      <c r="E498" t="s">
        <v>19</v>
      </c>
      <c r="F498" t="s">
        <v>36</v>
      </c>
      <c r="G498">
        <v>1814.65</v>
      </c>
      <c r="H498">
        <v>1140.71</v>
      </c>
      <c r="I498">
        <v>673.94</v>
      </c>
      <c r="K498">
        <v>3</v>
      </c>
      <c r="L498" t="s">
        <v>22</v>
      </c>
      <c r="M498" t="s">
        <v>179</v>
      </c>
      <c r="N498">
        <v>4</v>
      </c>
      <c r="O498" t="s">
        <v>21</v>
      </c>
    </row>
    <row r="499" spans="1:15" x14ac:dyDescent="0.3">
      <c r="A499" t="s">
        <v>964</v>
      </c>
      <c r="B499" s="3">
        <v>45398</v>
      </c>
      <c r="C499" t="s">
        <v>17</v>
      </c>
      <c r="D499" t="s">
        <v>96</v>
      </c>
      <c r="E499" t="s">
        <v>19</v>
      </c>
      <c r="F499" t="s">
        <v>28</v>
      </c>
      <c r="G499">
        <v>880.06</v>
      </c>
      <c r="H499">
        <v>561.76</v>
      </c>
      <c r="I499">
        <v>318.3</v>
      </c>
      <c r="K499">
        <v>4</v>
      </c>
      <c r="L499" t="s">
        <v>22</v>
      </c>
      <c r="M499" t="s">
        <v>16</v>
      </c>
      <c r="N499">
        <v>2</v>
      </c>
      <c r="O499" t="s">
        <v>21</v>
      </c>
    </row>
    <row r="500" spans="1:15" x14ac:dyDescent="0.3">
      <c r="A500" t="s">
        <v>965</v>
      </c>
      <c r="B500" s="3">
        <v>45648</v>
      </c>
      <c r="C500" t="s">
        <v>17</v>
      </c>
      <c r="D500" t="s">
        <v>226</v>
      </c>
      <c r="E500" t="s">
        <v>84</v>
      </c>
      <c r="F500" t="s">
        <v>36</v>
      </c>
      <c r="G500">
        <v>3022</v>
      </c>
      <c r="H500">
        <v>1752.03</v>
      </c>
      <c r="I500">
        <v>1269.97</v>
      </c>
      <c r="K500">
        <v>5</v>
      </c>
      <c r="L500" t="s">
        <v>29</v>
      </c>
      <c r="M500" t="s">
        <v>179</v>
      </c>
      <c r="N500">
        <v>4</v>
      </c>
      <c r="O500" t="s">
        <v>21</v>
      </c>
    </row>
    <row r="501" spans="1:15" x14ac:dyDescent="0.3">
      <c r="A501" t="s">
        <v>966</v>
      </c>
      <c r="B501" s="3">
        <v>45618</v>
      </c>
      <c r="C501" t="s">
        <v>42</v>
      </c>
      <c r="D501" t="s">
        <v>77</v>
      </c>
      <c r="E501" t="s">
        <v>35</v>
      </c>
      <c r="F501" t="s">
        <v>44</v>
      </c>
      <c r="G501">
        <v>1229.98</v>
      </c>
      <c r="H501">
        <v>892.21</v>
      </c>
      <c r="I501">
        <v>337.77</v>
      </c>
      <c r="K501">
        <v>5</v>
      </c>
      <c r="L501" t="s">
        <v>22</v>
      </c>
      <c r="M501" t="s">
        <v>111</v>
      </c>
      <c r="N501">
        <v>4</v>
      </c>
      <c r="O501" t="s">
        <v>21</v>
      </c>
    </row>
    <row r="502" spans="1:15" x14ac:dyDescent="0.3">
      <c r="A502" t="s">
        <v>968</v>
      </c>
      <c r="B502" s="3">
        <v>45370</v>
      </c>
      <c r="C502" t="s">
        <v>7</v>
      </c>
      <c r="D502" t="s">
        <v>182</v>
      </c>
      <c r="E502" t="s">
        <v>35</v>
      </c>
      <c r="F502" t="s">
        <v>36</v>
      </c>
      <c r="G502">
        <v>1293.51</v>
      </c>
      <c r="H502">
        <v>1018.77</v>
      </c>
      <c r="I502">
        <v>274.74</v>
      </c>
      <c r="K502">
        <v>5</v>
      </c>
      <c r="L502" t="s">
        <v>22</v>
      </c>
      <c r="M502" t="s">
        <v>76</v>
      </c>
      <c r="N502">
        <v>1</v>
      </c>
      <c r="O502" t="s">
        <v>21</v>
      </c>
    </row>
    <row r="503" spans="1:15" x14ac:dyDescent="0.3">
      <c r="A503" t="s">
        <v>969</v>
      </c>
      <c r="B503" s="3">
        <v>45619</v>
      </c>
      <c r="C503" t="s">
        <v>7</v>
      </c>
      <c r="D503" t="s">
        <v>182</v>
      </c>
      <c r="E503" t="s">
        <v>84</v>
      </c>
      <c r="F503" t="s">
        <v>73</v>
      </c>
      <c r="G503">
        <v>3286.66</v>
      </c>
      <c r="H503">
        <v>2229.89</v>
      </c>
      <c r="I503">
        <v>1056.77</v>
      </c>
      <c r="K503">
        <v>3</v>
      </c>
      <c r="L503" t="s">
        <v>22</v>
      </c>
      <c r="M503" t="s">
        <v>111</v>
      </c>
      <c r="N503">
        <v>4</v>
      </c>
      <c r="O503" t="s">
        <v>21</v>
      </c>
    </row>
    <row r="504" spans="1:15" x14ac:dyDescent="0.3">
      <c r="A504" t="s">
        <v>971</v>
      </c>
      <c r="B504" s="3">
        <v>45336</v>
      </c>
      <c r="C504" t="s">
        <v>7</v>
      </c>
      <c r="D504" t="s">
        <v>65</v>
      </c>
      <c r="E504" t="s">
        <v>40</v>
      </c>
      <c r="F504" t="s">
        <v>36</v>
      </c>
      <c r="G504">
        <v>1620.88</v>
      </c>
      <c r="H504">
        <v>1294.26</v>
      </c>
      <c r="I504">
        <v>326.62</v>
      </c>
      <c r="K504">
        <v>5</v>
      </c>
      <c r="L504" t="s">
        <v>22</v>
      </c>
      <c r="M504" t="s">
        <v>124</v>
      </c>
      <c r="N504">
        <v>1</v>
      </c>
      <c r="O504" t="s">
        <v>21</v>
      </c>
    </row>
    <row r="505" spans="1:15" x14ac:dyDescent="0.3">
      <c r="A505" t="s">
        <v>972</v>
      </c>
      <c r="B505" s="3">
        <v>45511</v>
      </c>
      <c r="C505" t="s">
        <v>33</v>
      </c>
      <c r="D505" t="s">
        <v>297</v>
      </c>
      <c r="E505" t="s">
        <v>40</v>
      </c>
      <c r="F505" t="s">
        <v>73</v>
      </c>
      <c r="G505">
        <v>461.76</v>
      </c>
      <c r="H505">
        <v>365.59</v>
      </c>
      <c r="I505">
        <v>96.17</v>
      </c>
      <c r="K505">
        <v>4</v>
      </c>
      <c r="L505" t="s">
        <v>29</v>
      </c>
      <c r="M505" t="s">
        <v>32</v>
      </c>
      <c r="N505">
        <v>3</v>
      </c>
      <c r="O505" t="s">
        <v>21</v>
      </c>
    </row>
    <row r="506" spans="1:15" x14ac:dyDescent="0.3">
      <c r="A506" t="s">
        <v>974</v>
      </c>
      <c r="B506" s="3">
        <v>45371</v>
      </c>
      <c r="C506" t="s">
        <v>7</v>
      </c>
      <c r="D506" t="s">
        <v>55</v>
      </c>
      <c r="E506" t="s">
        <v>87</v>
      </c>
      <c r="F506" t="s">
        <v>28</v>
      </c>
      <c r="G506">
        <v>1062.3699999999999</v>
      </c>
      <c r="H506">
        <v>744.94</v>
      </c>
      <c r="I506">
        <v>317.43</v>
      </c>
      <c r="K506">
        <v>4</v>
      </c>
      <c r="L506" t="s">
        <v>22</v>
      </c>
      <c r="M506" t="s">
        <v>76</v>
      </c>
      <c r="N506">
        <v>1</v>
      </c>
      <c r="O506" t="s">
        <v>21</v>
      </c>
    </row>
    <row r="507" spans="1:15" x14ac:dyDescent="0.3">
      <c r="A507" t="s">
        <v>976</v>
      </c>
      <c r="B507" s="3">
        <v>45378</v>
      </c>
      <c r="C507" t="s">
        <v>33</v>
      </c>
      <c r="D507" t="s">
        <v>39</v>
      </c>
      <c r="E507" t="s">
        <v>87</v>
      </c>
      <c r="F507" t="s">
        <v>44</v>
      </c>
      <c r="G507">
        <v>2132.56</v>
      </c>
      <c r="H507">
        <v>1482.47</v>
      </c>
      <c r="I507">
        <v>650.09</v>
      </c>
      <c r="K507">
        <v>5</v>
      </c>
      <c r="L507" t="s">
        <v>22</v>
      </c>
      <c r="M507" t="s">
        <v>76</v>
      </c>
      <c r="N507">
        <v>1</v>
      </c>
      <c r="O507" t="s">
        <v>21</v>
      </c>
    </row>
    <row r="508" spans="1:15" x14ac:dyDescent="0.3">
      <c r="A508" t="s">
        <v>978</v>
      </c>
      <c r="B508" s="3">
        <v>45434</v>
      </c>
      <c r="C508" t="s">
        <v>42</v>
      </c>
      <c r="D508" t="s">
        <v>77</v>
      </c>
      <c r="E508" t="s">
        <v>27</v>
      </c>
      <c r="F508" t="s">
        <v>36</v>
      </c>
      <c r="G508">
        <v>1467.45</v>
      </c>
      <c r="H508">
        <v>1177.18</v>
      </c>
      <c r="I508">
        <v>290.27</v>
      </c>
      <c r="J508">
        <v>10</v>
      </c>
      <c r="K508">
        <v>4</v>
      </c>
      <c r="L508" t="s">
        <v>22</v>
      </c>
      <c r="M508" t="s">
        <v>104</v>
      </c>
      <c r="N508">
        <v>2</v>
      </c>
      <c r="O508" t="s">
        <v>56</v>
      </c>
    </row>
    <row r="509" spans="1:15" x14ac:dyDescent="0.3">
      <c r="A509" t="s">
        <v>979</v>
      </c>
      <c r="B509" s="3">
        <v>45650</v>
      </c>
      <c r="C509" t="s">
        <v>33</v>
      </c>
      <c r="D509" t="s">
        <v>39</v>
      </c>
      <c r="E509" t="s">
        <v>84</v>
      </c>
      <c r="F509" t="s">
        <v>20</v>
      </c>
      <c r="G509">
        <v>2301.73</v>
      </c>
      <c r="H509">
        <v>1436.4</v>
      </c>
      <c r="I509">
        <v>865.33</v>
      </c>
      <c r="K509">
        <v>3</v>
      </c>
      <c r="L509" t="s">
        <v>29</v>
      </c>
      <c r="M509" t="s">
        <v>179</v>
      </c>
      <c r="N509">
        <v>4</v>
      </c>
      <c r="O509" t="s">
        <v>21</v>
      </c>
    </row>
    <row r="510" spans="1:15" x14ac:dyDescent="0.3">
      <c r="A510" t="s">
        <v>981</v>
      </c>
      <c r="B510" s="3">
        <v>45292</v>
      </c>
      <c r="C510" t="s">
        <v>42</v>
      </c>
      <c r="D510" t="s">
        <v>162</v>
      </c>
      <c r="E510" t="s">
        <v>87</v>
      </c>
      <c r="F510" t="s">
        <v>44</v>
      </c>
      <c r="G510">
        <v>1261.31</v>
      </c>
      <c r="H510">
        <v>1053.33</v>
      </c>
      <c r="I510">
        <v>207.98</v>
      </c>
      <c r="J510">
        <v>8</v>
      </c>
      <c r="K510">
        <v>1</v>
      </c>
      <c r="L510" t="s">
        <v>22</v>
      </c>
      <c r="M510" t="s">
        <v>25</v>
      </c>
      <c r="N510">
        <v>1</v>
      </c>
      <c r="O510" t="s">
        <v>56</v>
      </c>
    </row>
    <row r="511" spans="1:15" x14ac:dyDescent="0.3">
      <c r="A511" t="s">
        <v>983</v>
      </c>
      <c r="B511" s="3">
        <v>45568</v>
      </c>
      <c r="C511" t="s">
        <v>17</v>
      </c>
      <c r="D511" t="s">
        <v>100</v>
      </c>
      <c r="E511" t="s">
        <v>40</v>
      </c>
      <c r="F511" t="s">
        <v>36</v>
      </c>
      <c r="G511">
        <v>3284.96</v>
      </c>
      <c r="H511">
        <v>2599.19</v>
      </c>
      <c r="I511">
        <v>685.77</v>
      </c>
      <c r="K511">
        <v>2</v>
      </c>
      <c r="L511" t="s">
        <v>22</v>
      </c>
      <c r="M511" t="s">
        <v>68</v>
      </c>
      <c r="N511">
        <v>4</v>
      </c>
      <c r="O511" t="s">
        <v>21</v>
      </c>
    </row>
    <row r="512" spans="1:15" x14ac:dyDescent="0.3">
      <c r="A512" t="s">
        <v>984</v>
      </c>
      <c r="B512" s="3">
        <v>45624</v>
      </c>
      <c r="C512" t="s">
        <v>7</v>
      </c>
      <c r="D512" t="s">
        <v>185</v>
      </c>
      <c r="E512" t="s">
        <v>40</v>
      </c>
      <c r="F512" t="s">
        <v>20</v>
      </c>
      <c r="G512">
        <v>1430.04</v>
      </c>
      <c r="H512">
        <v>1012.59</v>
      </c>
      <c r="I512">
        <v>417.45</v>
      </c>
      <c r="K512">
        <v>3</v>
      </c>
      <c r="L512" t="s">
        <v>22</v>
      </c>
      <c r="M512" t="s">
        <v>111</v>
      </c>
      <c r="N512">
        <v>4</v>
      </c>
      <c r="O512" t="s">
        <v>21</v>
      </c>
    </row>
    <row r="513" spans="1:15" x14ac:dyDescent="0.3">
      <c r="A513" t="s">
        <v>985</v>
      </c>
      <c r="B513" s="3">
        <v>45359</v>
      </c>
      <c r="C513" t="s">
        <v>59</v>
      </c>
      <c r="D513" t="s">
        <v>301</v>
      </c>
      <c r="E513" t="s">
        <v>19</v>
      </c>
      <c r="F513" t="s">
        <v>36</v>
      </c>
      <c r="G513">
        <v>2400.16</v>
      </c>
      <c r="H513">
        <v>1500.1</v>
      </c>
      <c r="I513">
        <v>900.06</v>
      </c>
      <c r="K513">
        <v>1</v>
      </c>
      <c r="L513" t="s">
        <v>22</v>
      </c>
      <c r="M513" t="s">
        <v>76</v>
      </c>
      <c r="N513">
        <v>1</v>
      </c>
      <c r="O513" t="s">
        <v>21</v>
      </c>
    </row>
    <row r="514" spans="1:15" x14ac:dyDescent="0.3">
      <c r="A514" t="s">
        <v>987</v>
      </c>
      <c r="B514" s="3">
        <v>45493</v>
      </c>
      <c r="C514" t="s">
        <v>42</v>
      </c>
      <c r="D514" t="s">
        <v>214</v>
      </c>
      <c r="E514" t="s">
        <v>40</v>
      </c>
      <c r="F514" t="s">
        <v>73</v>
      </c>
      <c r="G514">
        <v>3257.15</v>
      </c>
      <c r="H514">
        <v>2937.77</v>
      </c>
      <c r="I514">
        <v>319.38</v>
      </c>
      <c r="J514">
        <v>8</v>
      </c>
      <c r="K514">
        <v>2</v>
      </c>
      <c r="L514" t="s">
        <v>22</v>
      </c>
      <c r="M514" t="s">
        <v>54</v>
      </c>
      <c r="N514">
        <v>3</v>
      </c>
      <c r="O514" t="s">
        <v>56</v>
      </c>
    </row>
    <row r="515" spans="1:15" x14ac:dyDescent="0.3">
      <c r="A515" t="s">
        <v>989</v>
      </c>
      <c r="B515" s="3">
        <v>45587</v>
      </c>
      <c r="C515" t="s">
        <v>33</v>
      </c>
      <c r="D515" t="s">
        <v>119</v>
      </c>
      <c r="E515" t="s">
        <v>27</v>
      </c>
      <c r="F515" t="s">
        <v>991</v>
      </c>
      <c r="G515">
        <v>2751.59</v>
      </c>
      <c r="H515">
        <v>2071.46</v>
      </c>
      <c r="I515">
        <v>680.13</v>
      </c>
      <c r="K515">
        <v>1</v>
      </c>
      <c r="L515" t="s">
        <v>22</v>
      </c>
      <c r="M515" t="s">
        <v>68</v>
      </c>
      <c r="N515">
        <v>4</v>
      </c>
      <c r="O515" t="s">
        <v>21</v>
      </c>
    </row>
    <row r="516" spans="1:15" x14ac:dyDescent="0.3">
      <c r="A516" t="s">
        <v>992</v>
      </c>
      <c r="B516" s="3">
        <v>45316</v>
      </c>
      <c r="C516" t="s">
        <v>42</v>
      </c>
      <c r="D516" t="s">
        <v>80</v>
      </c>
      <c r="E516" t="s">
        <v>84</v>
      </c>
      <c r="F516" t="s">
        <v>44</v>
      </c>
      <c r="G516">
        <v>2039.84</v>
      </c>
      <c r="H516">
        <v>1830.57</v>
      </c>
      <c r="I516">
        <v>209.27</v>
      </c>
      <c r="J516">
        <v>6</v>
      </c>
      <c r="K516">
        <v>1</v>
      </c>
      <c r="L516" t="s">
        <v>22</v>
      </c>
      <c r="M516" t="s">
        <v>25</v>
      </c>
      <c r="N516">
        <v>1</v>
      </c>
      <c r="O516" t="s">
        <v>56</v>
      </c>
    </row>
    <row r="517" spans="1:15" x14ac:dyDescent="0.3">
      <c r="A517" t="s">
        <v>994</v>
      </c>
      <c r="B517" s="3">
        <v>45436</v>
      </c>
      <c r="C517" t="s">
        <v>33</v>
      </c>
      <c r="D517" t="s">
        <v>105</v>
      </c>
      <c r="E517" t="s">
        <v>87</v>
      </c>
      <c r="F517" t="s">
        <v>36</v>
      </c>
      <c r="G517">
        <v>1027.68</v>
      </c>
      <c r="H517">
        <v>611.63</v>
      </c>
      <c r="I517">
        <v>416.05</v>
      </c>
      <c r="K517">
        <v>5</v>
      </c>
      <c r="L517" t="s">
        <v>22</v>
      </c>
      <c r="M517" t="s">
        <v>104</v>
      </c>
      <c r="N517">
        <v>2</v>
      </c>
      <c r="O517" t="s">
        <v>21</v>
      </c>
    </row>
    <row r="518" spans="1:15" x14ac:dyDescent="0.3">
      <c r="A518" t="s">
        <v>995</v>
      </c>
      <c r="B518" s="3">
        <v>45364</v>
      </c>
      <c r="C518" t="s">
        <v>33</v>
      </c>
      <c r="D518" t="s">
        <v>205</v>
      </c>
      <c r="E518" t="s">
        <v>1716</v>
      </c>
      <c r="F518" t="s">
        <v>20</v>
      </c>
      <c r="G518">
        <v>1259.4100000000001</v>
      </c>
      <c r="H518">
        <v>717.17</v>
      </c>
      <c r="I518">
        <v>542.24</v>
      </c>
      <c r="K518">
        <v>5</v>
      </c>
      <c r="L518" t="s">
        <v>29</v>
      </c>
      <c r="M518" t="s">
        <v>76</v>
      </c>
      <c r="N518">
        <v>1</v>
      </c>
      <c r="O518" t="s">
        <v>21</v>
      </c>
    </row>
    <row r="519" spans="1:15" x14ac:dyDescent="0.3">
      <c r="A519" t="s">
        <v>996</v>
      </c>
      <c r="B519" s="3">
        <v>45300</v>
      </c>
      <c r="C519" t="s">
        <v>33</v>
      </c>
      <c r="D519" t="s">
        <v>1698</v>
      </c>
      <c r="E519" t="s">
        <v>40</v>
      </c>
      <c r="F519" t="s">
        <v>44</v>
      </c>
      <c r="G519">
        <v>172.15</v>
      </c>
      <c r="H519">
        <v>118.42</v>
      </c>
      <c r="I519">
        <v>53.73</v>
      </c>
      <c r="J519">
        <v>5</v>
      </c>
      <c r="K519">
        <v>1</v>
      </c>
      <c r="L519" t="s">
        <v>22</v>
      </c>
      <c r="M519" t="s">
        <v>25</v>
      </c>
      <c r="N519">
        <v>1</v>
      </c>
      <c r="O519" t="s">
        <v>56</v>
      </c>
    </row>
    <row r="520" spans="1:15" x14ac:dyDescent="0.3">
      <c r="A520" t="s">
        <v>998</v>
      </c>
      <c r="B520" s="3">
        <v>45552</v>
      </c>
      <c r="C520" t="s">
        <v>17</v>
      </c>
      <c r="D520" t="s">
        <v>226</v>
      </c>
      <c r="E520" t="s">
        <v>19</v>
      </c>
      <c r="F520" t="s">
        <v>20</v>
      </c>
      <c r="G520">
        <v>3421.65</v>
      </c>
      <c r="H520">
        <v>1967.11</v>
      </c>
      <c r="I520">
        <v>1454.54</v>
      </c>
      <c r="K520">
        <v>3</v>
      </c>
      <c r="L520" t="s">
        <v>22</v>
      </c>
      <c r="M520" t="s">
        <v>115</v>
      </c>
      <c r="N520">
        <v>3</v>
      </c>
      <c r="O520" t="s">
        <v>21</v>
      </c>
    </row>
    <row r="521" spans="1:15" x14ac:dyDescent="0.3">
      <c r="A521" t="s">
        <v>1000</v>
      </c>
      <c r="B521" s="3">
        <v>45494</v>
      </c>
      <c r="C521" t="s">
        <v>7</v>
      </c>
      <c r="D521" t="s">
        <v>134</v>
      </c>
      <c r="E521" t="s">
        <v>19</v>
      </c>
      <c r="F521" t="s">
        <v>44</v>
      </c>
      <c r="G521">
        <v>3445.83</v>
      </c>
      <c r="H521">
        <v>1929.02</v>
      </c>
      <c r="I521">
        <v>1516.81</v>
      </c>
      <c r="K521">
        <v>2</v>
      </c>
      <c r="L521" t="s">
        <v>22</v>
      </c>
      <c r="M521" t="s">
        <v>54</v>
      </c>
      <c r="N521">
        <v>3</v>
      </c>
      <c r="O521" t="s">
        <v>21</v>
      </c>
    </row>
    <row r="522" spans="1:15" x14ac:dyDescent="0.3">
      <c r="A522" t="s">
        <v>1001</v>
      </c>
      <c r="B522" s="3">
        <v>45406</v>
      </c>
      <c r="C522" t="s">
        <v>33</v>
      </c>
      <c r="D522" t="s">
        <v>119</v>
      </c>
      <c r="E522" t="s">
        <v>27</v>
      </c>
      <c r="F522" t="s">
        <v>28</v>
      </c>
      <c r="G522">
        <v>2637.08</v>
      </c>
      <c r="H522">
        <v>1820.42</v>
      </c>
      <c r="I522">
        <v>816.66</v>
      </c>
      <c r="K522">
        <v>5</v>
      </c>
      <c r="L522" t="s">
        <v>22</v>
      </c>
      <c r="M522" t="s">
        <v>16</v>
      </c>
      <c r="N522">
        <v>2</v>
      </c>
      <c r="O522" t="s">
        <v>21</v>
      </c>
    </row>
    <row r="523" spans="1:15" x14ac:dyDescent="0.3">
      <c r="A523" t="s">
        <v>1002</v>
      </c>
      <c r="B523" s="3">
        <v>45405</v>
      </c>
      <c r="C523" t="s">
        <v>33</v>
      </c>
      <c r="D523" t="s">
        <v>39</v>
      </c>
      <c r="E523" t="s">
        <v>35</v>
      </c>
      <c r="F523" t="s">
        <v>28</v>
      </c>
      <c r="G523">
        <v>1643.36</v>
      </c>
      <c r="H523">
        <v>1064.54</v>
      </c>
      <c r="I523">
        <v>578.82000000000005</v>
      </c>
      <c r="K523">
        <v>4</v>
      </c>
      <c r="L523" t="s">
        <v>22</v>
      </c>
      <c r="M523" t="s">
        <v>16</v>
      </c>
      <c r="N523">
        <v>2</v>
      </c>
      <c r="O523" t="s">
        <v>56</v>
      </c>
    </row>
    <row r="524" spans="1:15" x14ac:dyDescent="0.3">
      <c r="A524" t="s">
        <v>1004</v>
      </c>
      <c r="B524" s="3">
        <v>45442</v>
      </c>
      <c r="C524" t="s">
        <v>7</v>
      </c>
      <c r="D524" t="s">
        <v>65</v>
      </c>
      <c r="E524" t="s">
        <v>84</v>
      </c>
      <c r="F524" t="s">
        <v>28</v>
      </c>
      <c r="G524">
        <v>1350.85</v>
      </c>
      <c r="H524">
        <v>888.42</v>
      </c>
      <c r="I524">
        <v>462.43</v>
      </c>
      <c r="K524">
        <v>5</v>
      </c>
      <c r="L524" t="s">
        <v>29</v>
      </c>
      <c r="M524" t="s">
        <v>104</v>
      </c>
      <c r="N524">
        <v>2</v>
      </c>
      <c r="O524" t="s">
        <v>21</v>
      </c>
    </row>
    <row r="525" spans="1:15" x14ac:dyDescent="0.3">
      <c r="A525" t="s">
        <v>1006</v>
      </c>
      <c r="B525" s="3">
        <v>45647</v>
      </c>
      <c r="C525" t="s">
        <v>7</v>
      </c>
      <c r="D525" t="s">
        <v>134</v>
      </c>
      <c r="E525" t="s">
        <v>27</v>
      </c>
      <c r="F525" t="s">
        <v>44</v>
      </c>
      <c r="G525">
        <v>1383.77</v>
      </c>
      <c r="H525">
        <v>949.09</v>
      </c>
      <c r="I525">
        <v>434.68</v>
      </c>
      <c r="K525">
        <v>4</v>
      </c>
      <c r="L525" t="s">
        <v>22</v>
      </c>
      <c r="M525" t="s">
        <v>179</v>
      </c>
      <c r="N525">
        <v>4</v>
      </c>
      <c r="O525" t="s">
        <v>21</v>
      </c>
    </row>
    <row r="526" spans="1:15" x14ac:dyDescent="0.3">
      <c r="A526" t="s">
        <v>1007</v>
      </c>
      <c r="B526" s="3">
        <v>45384</v>
      </c>
      <c r="C526" t="s">
        <v>42</v>
      </c>
      <c r="D526" t="s">
        <v>47</v>
      </c>
      <c r="E526" t="s">
        <v>87</v>
      </c>
      <c r="F526" t="s">
        <v>36</v>
      </c>
      <c r="G526">
        <v>1880.75</v>
      </c>
      <c r="H526">
        <v>1484.29</v>
      </c>
      <c r="I526">
        <v>396.46</v>
      </c>
      <c r="K526">
        <v>5</v>
      </c>
      <c r="L526" t="s">
        <v>22</v>
      </c>
      <c r="M526" t="s">
        <v>16</v>
      </c>
      <c r="N526">
        <v>2</v>
      </c>
      <c r="O526" t="s">
        <v>21</v>
      </c>
    </row>
    <row r="527" spans="1:15" x14ac:dyDescent="0.3">
      <c r="A527" t="s">
        <v>1008</v>
      </c>
      <c r="B527" s="3">
        <v>45367</v>
      </c>
      <c r="C527" t="s">
        <v>33</v>
      </c>
      <c r="D527" t="s">
        <v>39</v>
      </c>
      <c r="E527" t="s">
        <v>19</v>
      </c>
      <c r="F527" t="s">
        <v>36</v>
      </c>
      <c r="G527">
        <v>334.46</v>
      </c>
      <c r="H527">
        <v>213.14</v>
      </c>
      <c r="I527">
        <v>121.32</v>
      </c>
      <c r="K527">
        <v>5</v>
      </c>
      <c r="L527" t="s">
        <v>22</v>
      </c>
      <c r="M527" t="s">
        <v>76</v>
      </c>
      <c r="N527">
        <v>1</v>
      </c>
      <c r="O527" t="s">
        <v>21</v>
      </c>
    </row>
    <row r="528" spans="1:15" x14ac:dyDescent="0.3">
      <c r="A528" t="s">
        <v>1009</v>
      </c>
      <c r="B528" s="3">
        <v>45360</v>
      </c>
      <c r="C528" t="s">
        <v>42</v>
      </c>
      <c r="D528" t="s">
        <v>77</v>
      </c>
      <c r="E528" t="s">
        <v>19</v>
      </c>
      <c r="F528" t="s">
        <v>36</v>
      </c>
      <c r="G528">
        <v>2651.25</v>
      </c>
      <c r="H528">
        <v>2083.77</v>
      </c>
      <c r="I528">
        <v>567.48</v>
      </c>
      <c r="J528">
        <v>8</v>
      </c>
      <c r="K528">
        <v>3</v>
      </c>
      <c r="L528" t="s">
        <v>22</v>
      </c>
      <c r="M528" t="s">
        <v>76</v>
      </c>
      <c r="N528">
        <v>1</v>
      </c>
      <c r="O528" t="s">
        <v>56</v>
      </c>
    </row>
    <row r="529" spans="1:15" x14ac:dyDescent="0.3">
      <c r="A529" t="s">
        <v>1011</v>
      </c>
      <c r="B529" s="3">
        <v>45437</v>
      </c>
      <c r="C529" t="s">
        <v>59</v>
      </c>
      <c r="D529" t="s">
        <v>155</v>
      </c>
      <c r="E529" t="s">
        <v>19</v>
      </c>
      <c r="F529" t="s">
        <v>36</v>
      </c>
      <c r="G529">
        <v>226.08</v>
      </c>
      <c r="H529">
        <v>155.9</v>
      </c>
      <c r="I529">
        <v>70.180000000000007</v>
      </c>
      <c r="K529">
        <v>4</v>
      </c>
      <c r="L529" t="s">
        <v>29</v>
      </c>
      <c r="M529" t="s">
        <v>104</v>
      </c>
      <c r="N529">
        <v>2</v>
      </c>
      <c r="O529" t="s">
        <v>21</v>
      </c>
    </row>
    <row r="530" spans="1:15" x14ac:dyDescent="0.3">
      <c r="A530" t="s">
        <v>1012</v>
      </c>
      <c r="B530" s="3">
        <v>45641</v>
      </c>
      <c r="C530" t="s">
        <v>7</v>
      </c>
      <c r="D530" t="s">
        <v>1698</v>
      </c>
      <c r="E530" t="s">
        <v>27</v>
      </c>
      <c r="F530" t="s">
        <v>28</v>
      </c>
      <c r="G530">
        <v>3114.04</v>
      </c>
      <c r="H530">
        <v>2297.29</v>
      </c>
      <c r="I530">
        <v>816.75</v>
      </c>
      <c r="J530">
        <v>8</v>
      </c>
      <c r="K530">
        <v>1</v>
      </c>
      <c r="L530" t="s">
        <v>22</v>
      </c>
      <c r="M530" t="s">
        <v>179</v>
      </c>
      <c r="N530">
        <v>4</v>
      </c>
      <c r="O530" t="s">
        <v>56</v>
      </c>
    </row>
    <row r="531" spans="1:15" x14ac:dyDescent="0.3">
      <c r="A531" t="s">
        <v>1014</v>
      </c>
      <c r="B531" s="3">
        <v>45371</v>
      </c>
      <c r="C531" t="s">
        <v>7</v>
      </c>
      <c r="D531" t="s">
        <v>65</v>
      </c>
      <c r="E531" t="s">
        <v>84</v>
      </c>
      <c r="F531" t="s">
        <v>36</v>
      </c>
      <c r="G531">
        <v>2081.77</v>
      </c>
      <c r="H531">
        <v>1440</v>
      </c>
      <c r="I531">
        <v>641.77</v>
      </c>
      <c r="K531">
        <v>5</v>
      </c>
      <c r="L531" t="s">
        <v>22</v>
      </c>
      <c r="M531" t="s">
        <v>76</v>
      </c>
      <c r="N531">
        <v>1</v>
      </c>
      <c r="O531" t="s">
        <v>21</v>
      </c>
    </row>
    <row r="532" spans="1:15" x14ac:dyDescent="0.3">
      <c r="A532" t="s">
        <v>1015</v>
      </c>
      <c r="B532" s="3">
        <v>45374</v>
      </c>
      <c r="C532" t="s">
        <v>42</v>
      </c>
      <c r="D532" t="s">
        <v>83</v>
      </c>
      <c r="E532" t="s">
        <v>19</v>
      </c>
      <c r="F532" t="s">
        <v>36</v>
      </c>
      <c r="G532">
        <v>439.36</v>
      </c>
      <c r="H532">
        <v>325.61</v>
      </c>
      <c r="I532">
        <v>113.75</v>
      </c>
      <c r="K532">
        <v>4</v>
      </c>
      <c r="L532" t="s">
        <v>29</v>
      </c>
      <c r="M532" t="s">
        <v>76</v>
      </c>
      <c r="N532">
        <v>1</v>
      </c>
      <c r="O532" t="s">
        <v>21</v>
      </c>
    </row>
    <row r="533" spans="1:15" x14ac:dyDescent="0.3">
      <c r="A533" t="s">
        <v>1016</v>
      </c>
      <c r="B533" s="3">
        <v>45351</v>
      </c>
      <c r="C533" t="s">
        <v>7</v>
      </c>
      <c r="D533" t="s">
        <v>131</v>
      </c>
      <c r="E533" t="s">
        <v>35</v>
      </c>
      <c r="F533" t="s">
        <v>44</v>
      </c>
      <c r="G533">
        <v>915.15</v>
      </c>
      <c r="H533">
        <v>619.75</v>
      </c>
      <c r="I533">
        <v>295.39999999999998</v>
      </c>
      <c r="K533">
        <v>4</v>
      </c>
      <c r="L533" t="s">
        <v>22</v>
      </c>
      <c r="M533" t="s">
        <v>124</v>
      </c>
      <c r="N533">
        <v>1</v>
      </c>
      <c r="O533" t="s">
        <v>56</v>
      </c>
    </row>
    <row r="534" spans="1:15" x14ac:dyDescent="0.3">
      <c r="A534" t="s">
        <v>1018</v>
      </c>
      <c r="B534" s="3">
        <v>45494</v>
      </c>
      <c r="C534" t="s">
        <v>33</v>
      </c>
      <c r="D534" t="s">
        <v>39</v>
      </c>
      <c r="E534" t="s">
        <v>27</v>
      </c>
      <c r="F534" t="s">
        <v>44</v>
      </c>
      <c r="G534">
        <v>2891.56</v>
      </c>
      <c r="H534">
        <v>2280.44</v>
      </c>
      <c r="I534">
        <v>611.12</v>
      </c>
      <c r="K534">
        <v>5</v>
      </c>
      <c r="L534" t="s">
        <v>22</v>
      </c>
      <c r="M534" t="s">
        <v>54</v>
      </c>
      <c r="N534">
        <v>3</v>
      </c>
      <c r="O534" t="s">
        <v>21</v>
      </c>
    </row>
    <row r="535" spans="1:15" x14ac:dyDescent="0.3">
      <c r="A535" t="s">
        <v>1019</v>
      </c>
      <c r="B535" s="3">
        <v>45474</v>
      </c>
      <c r="C535" t="s">
        <v>7</v>
      </c>
      <c r="D535" t="s">
        <v>182</v>
      </c>
      <c r="E535" t="s">
        <v>27</v>
      </c>
      <c r="F535" t="s">
        <v>28</v>
      </c>
      <c r="G535">
        <v>884.59</v>
      </c>
      <c r="H535">
        <v>699.98</v>
      </c>
      <c r="I535">
        <v>184.61</v>
      </c>
      <c r="K535">
        <v>3</v>
      </c>
      <c r="L535" t="s">
        <v>22</v>
      </c>
      <c r="M535" t="s">
        <v>54</v>
      </c>
      <c r="N535">
        <v>3</v>
      </c>
      <c r="O535" t="s">
        <v>21</v>
      </c>
    </row>
    <row r="536" spans="1:15" x14ac:dyDescent="0.3">
      <c r="A536" t="s">
        <v>1021</v>
      </c>
      <c r="B536" s="3">
        <v>45421</v>
      </c>
      <c r="C536" t="s">
        <v>17</v>
      </c>
      <c r="D536" t="s">
        <v>226</v>
      </c>
      <c r="E536" t="s">
        <v>87</v>
      </c>
      <c r="F536" t="s">
        <v>28</v>
      </c>
      <c r="G536">
        <v>1351.27</v>
      </c>
      <c r="H536">
        <v>973.93</v>
      </c>
      <c r="I536">
        <v>377.34</v>
      </c>
      <c r="K536">
        <v>4</v>
      </c>
      <c r="L536" t="s">
        <v>29</v>
      </c>
      <c r="M536" t="s">
        <v>104</v>
      </c>
      <c r="N536">
        <v>2</v>
      </c>
      <c r="O536" t="s">
        <v>21</v>
      </c>
    </row>
    <row r="537" spans="1:15" x14ac:dyDescent="0.3">
      <c r="A537" t="s">
        <v>1023</v>
      </c>
      <c r="B537" s="3">
        <v>45545</v>
      </c>
      <c r="C537" t="s">
        <v>17</v>
      </c>
      <c r="D537" t="s">
        <v>100</v>
      </c>
      <c r="E537" t="s">
        <v>40</v>
      </c>
      <c r="F537" t="s">
        <v>36</v>
      </c>
      <c r="G537">
        <v>394.08</v>
      </c>
      <c r="H537">
        <v>286.60000000000002</v>
      </c>
      <c r="I537">
        <v>107.48</v>
      </c>
      <c r="K537">
        <v>5</v>
      </c>
      <c r="L537" t="s">
        <v>29</v>
      </c>
      <c r="M537" t="s">
        <v>115</v>
      </c>
      <c r="N537">
        <v>3</v>
      </c>
      <c r="O537" t="s">
        <v>21</v>
      </c>
    </row>
    <row r="538" spans="1:15" x14ac:dyDescent="0.3">
      <c r="A538" t="s">
        <v>1024</v>
      </c>
      <c r="B538" s="3">
        <v>45627</v>
      </c>
      <c r="C538" t="s">
        <v>7</v>
      </c>
      <c r="D538" t="s">
        <v>134</v>
      </c>
      <c r="E538" t="s">
        <v>35</v>
      </c>
      <c r="F538" t="s">
        <v>36</v>
      </c>
      <c r="G538">
        <v>1755.7</v>
      </c>
      <c r="H538">
        <v>1218.05</v>
      </c>
      <c r="I538">
        <v>537.65</v>
      </c>
      <c r="K538">
        <v>4</v>
      </c>
      <c r="L538" t="s">
        <v>29</v>
      </c>
      <c r="M538" t="s">
        <v>179</v>
      </c>
      <c r="N538">
        <v>4</v>
      </c>
      <c r="O538" t="s">
        <v>21</v>
      </c>
    </row>
    <row r="539" spans="1:15" x14ac:dyDescent="0.3">
      <c r="A539" t="s">
        <v>1025</v>
      </c>
      <c r="B539" s="3">
        <v>45315</v>
      </c>
      <c r="C539" t="s">
        <v>7</v>
      </c>
      <c r="D539" t="s">
        <v>69</v>
      </c>
      <c r="E539" t="s">
        <v>84</v>
      </c>
      <c r="F539" t="s">
        <v>44</v>
      </c>
      <c r="G539">
        <v>495.39</v>
      </c>
      <c r="H539">
        <v>367.35</v>
      </c>
      <c r="I539">
        <v>128.04</v>
      </c>
      <c r="J539">
        <v>4</v>
      </c>
      <c r="K539">
        <v>2</v>
      </c>
      <c r="L539" t="s">
        <v>22</v>
      </c>
      <c r="M539" t="s">
        <v>25</v>
      </c>
      <c r="N539">
        <v>1</v>
      </c>
      <c r="O539" t="s">
        <v>56</v>
      </c>
    </row>
    <row r="540" spans="1:15" x14ac:dyDescent="0.3">
      <c r="A540" t="s">
        <v>1027</v>
      </c>
      <c r="B540" s="3">
        <v>45578</v>
      </c>
      <c r="C540" t="s">
        <v>7</v>
      </c>
      <c r="D540" t="s">
        <v>69</v>
      </c>
      <c r="E540" t="s">
        <v>87</v>
      </c>
      <c r="F540" t="s">
        <v>44</v>
      </c>
      <c r="G540">
        <v>3215.28</v>
      </c>
      <c r="H540">
        <v>2048.21</v>
      </c>
      <c r="I540">
        <v>1167.07</v>
      </c>
      <c r="K540">
        <v>4</v>
      </c>
      <c r="L540" t="s">
        <v>22</v>
      </c>
      <c r="M540" t="s">
        <v>68</v>
      </c>
      <c r="N540">
        <v>4</v>
      </c>
      <c r="O540" t="s">
        <v>21</v>
      </c>
    </row>
    <row r="541" spans="1:15" x14ac:dyDescent="0.3">
      <c r="A541" t="s">
        <v>1029</v>
      </c>
      <c r="B541" s="3">
        <v>45637</v>
      </c>
      <c r="C541" t="s">
        <v>59</v>
      </c>
      <c r="D541" t="s">
        <v>60</v>
      </c>
      <c r="E541" t="s">
        <v>40</v>
      </c>
      <c r="F541" t="s">
        <v>73</v>
      </c>
      <c r="G541">
        <v>865.9</v>
      </c>
      <c r="H541">
        <v>578.67999999999995</v>
      </c>
      <c r="I541">
        <v>287.22000000000003</v>
      </c>
      <c r="K541">
        <v>5</v>
      </c>
      <c r="L541" t="s">
        <v>22</v>
      </c>
      <c r="M541" t="s">
        <v>179</v>
      </c>
      <c r="N541">
        <v>4</v>
      </c>
      <c r="O541" t="s">
        <v>21</v>
      </c>
    </row>
    <row r="542" spans="1:15" x14ac:dyDescent="0.3">
      <c r="A542" t="s">
        <v>1031</v>
      </c>
      <c r="B542" s="3">
        <v>45532</v>
      </c>
      <c r="C542" t="s">
        <v>7</v>
      </c>
      <c r="D542" t="s">
        <v>1698</v>
      </c>
      <c r="E542" t="s">
        <v>87</v>
      </c>
      <c r="F542" t="s">
        <v>73</v>
      </c>
      <c r="G542">
        <v>264.64999999999998</v>
      </c>
      <c r="H542">
        <v>203.25</v>
      </c>
      <c r="I542">
        <v>61.4</v>
      </c>
      <c r="J542">
        <v>3</v>
      </c>
      <c r="K542">
        <v>1</v>
      </c>
      <c r="L542" t="s">
        <v>29</v>
      </c>
      <c r="M542" t="s">
        <v>32</v>
      </c>
      <c r="N542">
        <v>3</v>
      </c>
      <c r="O542" t="s">
        <v>56</v>
      </c>
    </row>
    <row r="543" spans="1:15" x14ac:dyDescent="0.3">
      <c r="A543" t="s">
        <v>1032</v>
      </c>
      <c r="B543" s="3">
        <v>45381</v>
      </c>
      <c r="C543" t="s">
        <v>7</v>
      </c>
      <c r="D543" t="s">
        <v>182</v>
      </c>
      <c r="E543" t="s">
        <v>27</v>
      </c>
      <c r="F543" t="s">
        <v>44</v>
      </c>
      <c r="G543">
        <v>3172.58</v>
      </c>
      <c r="H543">
        <v>1977.62</v>
      </c>
      <c r="I543">
        <v>1194.96</v>
      </c>
      <c r="J543">
        <v>7</v>
      </c>
      <c r="K543">
        <v>1</v>
      </c>
      <c r="L543" t="s">
        <v>29</v>
      </c>
      <c r="M543" t="s">
        <v>76</v>
      </c>
      <c r="N543">
        <v>1</v>
      </c>
      <c r="O543" t="s">
        <v>56</v>
      </c>
    </row>
    <row r="544" spans="1:15" x14ac:dyDescent="0.3">
      <c r="A544" t="s">
        <v>1033</v>
      </c>
      <c r="B544" s="3">
        <v>45305</v>
      </c>
      <c r="C544" t="s">
        <v>42</v>
      </c>
      <c r="D544" t="s">
        <v>83</v>
      </c>
      <c r="E544" t="s">
        <v>27</v>
      </c>
      <c r="F544" t="s">
        <v>28</v>
      </c>
      <c r="G544">
        <v>3342.57</v>
      </c>
      <c r="H544">
        <v>2679.26</v>
      </c>
      <c r="I544">
        <v>663.31</v>
      </c>
      <c r="K544">
        <v>5</v>
      </c>
      <c r="L544" t="s">
        <v>22</v>
      </c>
      <c r="M544" t="s">
        <v>25</v>
      </c>
      <c r="N544">
        <v>1</v>
      </c>
      <c r="O544" t="s">
        <v>21</v>
      </c>
    </row>
    <row r="545" spans="1:15" x14ac:dyDescent="0.3">
      <c r="A545" t="s">
        <v>1034</v>
      </c>
      <c r="B545" s="3">
        <v>45548</v>
      </c>
      <c r="C545" t="s">
        <v>42</v>
      </c>
      <c r="D545" t="s">
        <v>43</v>
      </c>
      <c r="E545" t="s">
        <v>35</v>
      </c>
      <c r="F545" t="s">
        <v>20</v>
      </c>
      <c r="G545">
        <v>1196</v>
      </c>
      <c r="H545">
        <v>999.98</v>
      </c>
      <c r="I545">
        <v>196.02</v>
      </c>
      <c r="K545">
        <v>5</v>
      </c>
      <c r="L545" t="s">
        <v>22</v>
      </c>
      <c r="M545" t="s">
        <v>115</v>
      </c>
      <c r="N545">
        <v>3</v>
      </c>
      <c r="O545" t="s">
        <v>21</v>
      </c>
    </row>
    <row r="546" spans="1:15" x14ac:dyDescent="0.3">
      <c r="A546" t="s">
        <v>1035</v>
      </c>
      <c r="B546" s="3">
        <v>45355</v>
      </c>
      <c r="C546" t="s">
        <v>33</v>
      </c>
      <c r="D546" t="s">
        <v>119</v>
      </c>
      <c r="E546" t="s">
        <v>40</v>
      </c>
      <c r="F546" t="s">
        <v>44</v>
      </c>
      <c r="G546">
        <v>1973.67</v>
      </c>
      <c r="H546">
        <v>1384.75</v>
      </c>
      <c r="I546">
        <v>588.91999999999996</v>
      </c>
      <c r="K546">
        <v>5</v>
      </c>
      <c r="L546" t="s">
        <v>22</v>
      </c>
      <c r="M546" t="s">
        <v>76</v>
      </c>
      <c r="N546">
        <v>1</v>
      </c>
      <c r="O546" t="s">
        <v>21</v>
      </c>
    </row>
    <row r="547" spans="1:15" x14ac:dyDescent="0.3">
      <c r="A547" t="s">
        <v>1036</v>
      </c>
      <c r="B547" s="3">
        <v>45614</v>
      </c>
      <c r="C547" t="s">
        <v>33</v>
      </c>
      <c r="D547" t="s">
        <v>205</v>
      </c>
      <c r="E547" t="s">
        <v>84</v>
      </c>
      <c r="F547" t="s">
        <v>176</v>
      </c>
      <c r="G547">
        <v>3882.38</v>
      </c>
      <c r="H547">
        <v>2207.2199999999998</v>
      </c>
      <c r="I547">
        <v>1675.16</v>
      </c>
      <c r="K547">
        <v>5</v>
      </c>
      <c r="L547" t="s">
        <v>22</v>
      </c>
      <c r="M547" t="s">
        <v>111</v>
      </c>
      <c r="N547">
        <v>4</v>
      </c>
      <c r="O547" t="s">
        <v>56</v>
      </c>
    </row>
    <row r="548" spans="1:15" x14ac:dyDescent="0.3">
      <c r="A548" t="s">
        <v>1038</v>
      </c>
      <c r="B548" s="3">
        <v>45524</v>
      </c>
      <c r="C548" t="s">
        <v>59</v>
      </c>
      <c r="D548" t="s">
        <v>60</v>
      </c>
      <c r="E548" t="s">
        <v>27</v>
      </c>
      <c r="F548" t="s">
        <v>44</v>
      </c>
      <c r="G548">
        <v>342.47</v>
      </c>
      <c r="H548">
        <v>232.75</v>
      </c>
      <c r="I548">
        <v>109.72</v>
      </c>
      <c r="K548">
        <v>4</v>
      </c>
      <c r="L548" t="s">
        <v>22</v>
      </c>
      <c r="M548" t="s">
        <v>32</v>
      </c>
      <c r="N548">
        <v>3</v>
      </c>
      <c r="O548" t="s">
        <v>21</v>
      </c>
    </row>
    <row r="549" spans="1:15" x14ac:dyDescent="0.3">
      <c r="A549" t="s">
        <v>1039</v>
      </c>
      <c r="B549" s="3">
        <v>45609</v>
      </c>
      <c r="C549" t="s">
        <v>59</v>
      </c>
      <c r="D549" t="s">
        <v>490</v>
      </c>
      <c r="E549" t="s">
        <v>27</v>
      </c>
      <c r="F549" t="s">
        <v>36</v>
      </c>
      <c r="G549">
        <v>4345.66</v>
      </c>
      <c r="H549">
        <v>2484.0100000000002</v>
      </c>
      <c r="I549">
        <v>1861.65</v>
      </c>
      <c r="J549">
        <v>4</v>
      </c>
      <c r="K549">
        <v>2</v>
      </c>
      <c r="L549" t="s">
        <v>22</v>
      </c>
      <c r="M549" t="s">
        <v>111</v>
      </c>
      <c r="N549">
        <v>4</v>
      </c>
      <c r="O549" t="s">
        <v>56</v>
      </c>
    </row>
    <row r="550" spans="1:15" x14ac:dyDescent="0.3">
      <c r="A550" t="s">
        <v>1040</v>
      </c>
      <c r="B550" s="3">
        <v>45505</v>
      </c>
      <c r="C550" t="s">
        <v>42</v>
      </c>
      <c r="D550" t="s">
        <v>83</v>
      </c>
      <c r="E550" t="s">
        <v>87</v>
      </c>
      <c r="F550" t="s">
        <v>44</v>
      </c>
      <c r="G550">
        <v>2181.16</v>
      </c>
      <c r="H550">
        <v>1906.25</v>
      </c>
      <c r="I550">
        <v>274.91000000000003</v>
      </c>
      <c r="K550">
        <v>5</v>
      </c>
      <c r="L550" t="s">
        <v>29</v>
      </c>
      <c r="M550" t="s">
        <v>32</v>
      </c>
      <c r="N550">
        <v>3</v>
      </c>
      <c r="O550" t="s">
        <v>21</v>
      </c>
    </row>
    <row r="551" spans="1:15" x14ac:dyDescent="0.3">
      <c r="A551" t="s">
        <v>1041</v>
      </c>
      <c r="B551" s="3">
        <v>45509</v>
      </c>
      <c r="C551" t="s">
        <v>17</v>
      </c>
      <c r="D551" t="s">
        <v>96</v>
      </c>
      <c r="E551" t="s">
        <v>87</v>
      </c>
      <c r="F551" t="s">
        <v>36</v>
      </c>
      <c r="G551">
        <v>3475.72</v>
      </c>
      <c r="H551">
        <v>2531.62</v>
      </c>
      <c r="I551">
        <v>944.1</v>
      </c>
      <c r="L551" t="s">
        <v>22</v>
      </c>
      <c r="M551" t="s">
        <v>32</v>
      </c>
      <c r="N551">
        <v>3</v>
      </c>
      <c r="O551" t="s">
        <v>21</v>
      </c>
    </row>
    <row r="552" spans="1:15" x14ac:dyDescent="0.3">
      <c r="A552" t="s">
        <v>1043</v>
      </c>
      <c r="B552" s="3">
        <v>45396</v>
      </c>
      <c r="C552" t="s">
        <v>17</v>
      </c>
      <c r="D552" t="s">
        <v>26</v>
      </c>
      <c r="E552" t="s">
        <v>19</v>
      </c>
      <c r="F552" t="s">
        <v>73</v>
      </c>
      <c r="G552">
        <v>2098.5700000000002</v>
      </c>
      <c r="H552">
        <v>1577.98</v>
      </c>
      <c r="I552">
        <v>520.59</v>
      </c>
      <c r="J552">
        <v>7</v>
      </c>
      <c r="K552">
        <v>2</v>
      </c>
      <c r="L552" t="s">
        <v>22</v>
      </c>
      <c r="M552" t="s">
        <v>16</v>
      </c>
      <c r="N552">
        <v>2</v>
      </c>
      <c r="O552" t="s">
        <v>56</v>
      </c>
    </row>
    <row r="553" spans="1:15" x14ac:dyDescent="0.3">
      <c r="A553" t="s">
        <v>1045</v>
      </c>
      <c r="B553" s="3">
        <v>45307</v>
      </c>
      <c r="C553" t="s">
        <v>59</v>
      </c>
      <c r="D553" t="s">
        <v>301</v>
      </c>
      <c r="E553" t="s">
        <v>40</v>
      </c>
      <c r="F553" t="s">
        <v>44</v>
      </c>
      <c r="G553">
        <v>672.27</v>
      </c>
      <c r="H553">
        <v>468.06</v>
      </c>
      <c r="I553">
        <v>204.21</v>
      </c>
      <c r="K553">
        <v>5</v>
      </c>
      <c r="L553" t="s">
        <v>22</v>
      </c>
      <c r="M553" t="s">
        <v>25</v>
      </c>
      <c r="N553">
        <v>1</v>
      </c>
      <c r="O553" t="s">
        <v>21</v>
      </c>
    </row>
    <row r="554" spans="1:15" x14ac:dyDescent="0.3">
      <c r="A554" t="s">
        <v>1046</v>
      </c>
      <c r="B554" s="3">
        <v>45398</v>
      </c>
      <c r="C554" t="s">
        <v>7</v>
      </c>
      <c r="D554" t="s">
        <v>185</v>
      </c>
      <c r="E554" t="s">
        <v>27</v>
      </c>
      <c r="F554" t="s">
        <v>36</v>
      </c>
      <c r="G554">
        <v>2028.97</v>
      </c>
      <c r="H554">
        <v>1622.22</v>
      </c>
      <c r="I554">
        <v>406.75</v>
      </c>
      <c r="K554">
        <v>3</v>
      </c>
      <c r="L554" t="s">
        <v>22</v>
      </c>
      <c r="M554" t="s">
        <v>16</v>
      </c>
      <c r="N554">
        <v>2</v>
      </c>
      <c r="O554" t="s">
        <v>21</v>
      </c>
    </row>
    <row r="555" spans="1:15" x14ac:dyDescent="0.3">
      <c r="A555" t="s">
        <v>1047</v>
      </c>
      <c r="B555" s="3">
        <v>45622</v>
      </c>
      <c r="C555" t="s">
        <v>42</v>
      </c>
      <c r="D555" t="s">
        <v>162</v>
      </c>
      <c r="E555" t="s">
        <v>87</v>
      </c>
      <c r="F555" t="s">
        <v>36</v>
      </c>
      <c r="G555">
        <v>1906.04</v>
      </c>
      <c r="H555">
        <v>1572.09</v>
      </c>
      <c r="I555">
        <v>333.95</v>
      </c>
      <c r="K555">
        <v>4</v>
      </c>
      <c r="L555" t="s">
        <v>22</v>
      </c>
      <c r="M555" t="s">
        <v>111</v>
      </c>
      <c r="N555">
        <v>4</v>
      </c>
      <c r="O555" t="s">
        <v>21</v>
      </c>
    </row>
    <row r="556" spans="1:15" x14ac:dyDescent="0.3">
      <c r="A556" t="s">
        <v>1049</v>
      </c>
      <c r="B556" s="3">
        <v>45369</v>
      </c>
      <c r="C556" t="s">
        <v>59</v>
      </c>
      <c r="D556" t="s">
        <v>108</v>
      </c>
      <c r="E556" t="s">
        <v>27</v>
      </c>
      <c r="F556" t="s">
        <v>36</v>
      </c>
      <c r="G556">
        <v>3231.65</v>
      </c>
      <c r="H556">
        <v>2275.14</v>
      </c>
      <c r="I556">
        <v>956.51</v>
      </c>
      <c r="K556">
        <v>3</v>
      </c>
      <c r="L556" t="s">
        <v>22</v>
      </c>
      <c r="M556" t="s">
        <v>76</v>
      </c>
      <c r="N556">
        <v>1</v>
      </c>
      <c r="O556" t="s">
        <v>21</v>
      </c>
    </row>
    <row r="557" spans="1:15" x14ac:dyDescent="0.3">
      <c r="A557" t="s">
        <v>1050</v>
      </c>
      <c r="B557" s="3">
        <v>45410</v>
      </c>
      <c r="C557" t="s">
        <v>59</v>
      </c>
      <c r="D557" t="s">
        <v>301</v>
      </c>
      <c r="E557" t="s">
        <v>87</v>
      </c>
      <c r="F557" t="s">
        <v>36</v>
      </c>
      <c r="G557">
        <v>3155.91</v>
      </c>
      <c r="H557">
        <v>2145.83</v>
      </c>
      <c r="I557">
        <v>1010.08</v>
      </c>
      <c r="K557">
        <v>4</v>
      </c>
      <c r="L557" t="s">
        <v>22</v>
      </c>
      <c r="M557" t="s">
        <v>16</v>
      </c>
      <c r="N557">
        <v>2</v>
      </c>
      <c r="O557" t="s">
        <v>21</v>
      </c>
    </row>
    <row r="558" spans="1:15" x14ac:dyDescent="0.3">
      <c r="A558" t="s">
        <v>1051</v>
      </c>
      <c r="B558" s="3">
        <v>45622</v>
      </c>
      <c r="C558" t="s">
        <v>33</v>
      </c>
      <c r="D558" t="s">
        <v>171</v>
      </c>
      <c r="E558" t="s">
        <v>35</v>
      </c>
      <c r="F558" t="s">
        <v>36</v>
      </c>
      <c r="G558">
        <v>289.27</v>
      </c>
      <c r="H558">
        <v>219.11</v>
      </c>
      <c r="I558">
        <v>70.16</v>
      </c>
      <c r="K558">
        <v>5</v>
      </c>
      <c r="L558" t="s">
        <v>22</v>
      </c>
      <c r="M558" t="s">
        <v>111</v>
      </c>
      <c r="N558">
        <v>4</v>
      </c>
      <c r="O558" t="s">
        <v>21</v>
      </c>
    </row>
    <row r="559" spans="1:15" x14ac:dyDescent="0.3">
      <c r="A559" t="s">
        <v>1052</v>
      </c>
      <c r="B559" s="3">
        <v>45648</v>
      </c>
      <c r="C559" t="s">
        <v>33</v>
      </c>
      <c r="D559" t="s">
        <v>171</v>
      </c>
      <c r="E559" t="s">
        <v>87</v>
      </c>
      <c r="F559" t="s">
        <v>36</v>
      </c>
      <c r="G559">
        <v>3054.1</v>
      </c>
      <c r="H559">
        <v>1942.25</v>
      </c>
      <c r="I559">
        <v>1111.8499999999999</v>
      </c>
      <c r="K559">
        <v>4</v>
      </c>
      <c r="L559" t="s">
        <v>22</v>
      </c>
      <c r="M559" t="s">
        <v>179</v>
      </c>
      <c r="N559">
        <v>4</v>
      </c>
      <c r="O559" t="s">
        <v>21</v>
      </c>
    </row>
    <row r="560" spans="1:15" x14ac:dyDescent="0.3">
      <c r="A560" t="s">
        <v>1053</v>
      </c>
      <c r="B560" s="3">
        <v>45642</v>
      </c>
      <c r="C560" t="s">
        <v>59</v>
      </c>
      <c r="D560" t="s">
        <v>60</v>
      </c>
      <c r="E560" t="s">
        <v>27</v>
      </c>
      <c r="F560" t="s">
        <v>36</v>
      </c>
      <c r="G560">
        <v>2548.44</v>
      </c>
      <c r="H560">
        <v>1804.13</v>
      </c>
      <c r="I560">
        <v>744.31</v>
      </c>
      <c r="J560">
        <v>8</v>
      </c>
      <c r="K560">
        <v>1</v>
      </c>
      <c r="L560" t="s">
        <v>22</v>
      </c>
      <c r="M560" t="s">
        <v>179</v>
      </c>
      <c r="N560">
        <v>4</v>
      </c>
      <c r="O560" t="s">
        <v>56</v>
      </c>
    </row>
    <row r="561" spans="1:15" x14ac:dyDescent="0.3">
      <c r="A561" t="s">
        <v>1055</v>
      </c>
      <c r="B561" s="3">
        <v>45475</v>
      </c>
      <c r="C561" t="s">
        <v>17</v>
      </c>
      <c r="D561" t="s">
        <v>469</v>
      </c>
      <c r="E561" t="s">
        <v>87</v>
      </c>
      <c r="F561" t="s">
        <v>44</v>
      </c>
      <c r="G561">
        <v>1758.7</v>
      </c>
      <c r="H561">
        <v>1338.51</v>
      </c>
      <c r="I561">
        <v>420.19</v>
      </c>
      <c r="K561">
        <v>3</v>
      </c>
      <c r="L561" t="s">
        <v>22</v>
      </c>
      <c r="M561" t="s">
        <v>54</v>
      </c>
      <c r="N561">
        <v>3</v>
      </c>
      <c r="O561" t="s">
        <v>21</v>
      </c>
    </row>
    <row r="562" spans="1:15" x14ac:dyDescent="0.3">
      <c r="A562" t="s">
        <v>1057</v>
      </c>
      <c r="B562" s="3">
        <v>45621</v>
      </c>
      <c r="C562" t="s">
        <v>7</v>
      </c>
      <c r="D562" t="s">
        <v>185</v>
      </c>
      <c r="E562" t="s">
        <v>35</v>
      </c>
      <c r="F562" t="s">
        <v>36</v>
      </c>
      <c r="G562">
        <v>2178.6999999999998</v>
      </c>
      <c r="H562">
        <v>1241.22</v>
      </c>
      <c r="I562">
        <v>937.48</v>
      </c>
      <c r="K562">
        <v>5</v>
      </c>
      <c r="L562" t="s">
        <v>22</v>
      </c>
      <c r="M562" t="s">
        <v>111</v>
      </c>
      <c r="N562">
        <v>4</v>
      </c>
      <c r="O562" t="s">
        <v>21</v>
      </c>
    </row>
    <row r="563" spans="1:15" x14ac:dyDescent="0.3">
      <c r="A563" t="s">
        <v>1058</v>
      </c>
      <c r="B563" s="3">
        <v>45446</v>
      </c>
      <c r="C563" t="s">
        <v>17</v>
      </c>
      <c r="D563" t="s">
        <v>26</v>
      </c>
      <c r="E563" t="s">
        <v>27</v>
      </c>
      <c r="F563" t="s">
        <v>44</v>
      </c>
      <c r="G563">
        <v>1826.26</v>
      </c>
      <c r="H563">
        <v>1058</v>
      </c>
      <c r="I563">
        <v>768.26</v>
      </c>
      <c r="K563">
        <v>4</v>
      </c>
      <c r="L563" t="s">
        <v>22</v>
      </c>
      <c r="M563" t="s">
        <v>64</v>
      </c>
      <c r="N563">
        <v>2</v>
      </c>
      <c r="O563" t="s">
        <v>21</v>
      </c>
    </row>
    <row r="564" spans="1:15" x14ac:dyDescent="0.3">
      <c r="A564" t="s">
        <v>1060</v>
      </c>
      <c r="B564" s="3">
        <v>45535</v>
      </c>
      <c r="C564" t="s">
        <v>42</v>
      </c>
      <c r="D564" t="s">
        <v>1698</v>
      </c>
      <c r="E564" t="s">
        <v>87</v>
      </c>
      <c r="F564" t="s">
        <v>36</v>
      </c>
      <c r="G564">
        <v>3338.35</v>
      </c>
      <c r="H564">
        <v>2671.32</v>
      </c>
      <c r="I564">
        <v>667.03</v>
      </c>
      <c r="K564">
        <v>4</v>
      </c>
      <c r="L564" t="s">
        <v>29</v>
      </c>
      <c r="M564" t="s">
        <v>32</v>
      </c>
      <c r="N564">
        <v>3</v>
      </c>
      <c r="O564" t="s">
        <v>21</v>
      </c>
    </row>
    <row r="565" spans="1:15" x14ac:dyDescent="0.3">
      <c r="A565" t="s">
        <v>1062</v>
      </c>
      <c r="B565" s="3">
        <v>45596</v>
      </c>
      <c r="C565" t="s">
        <v>59</v>
      </c>
      <c r="D565" t="s">
        <v>155</v>
      </c>
      <c r="E565" t="s">
        <v>19</v>
      </c>
      <c r="F565" t="s">
        <v>73</v>
      </c>
      <c r="G565">
        <v>1074.3499999999999</v>
      </c>
      <c r="H565">
        <v>754.05</v>
      </c>
      <c r="I565">
        <v>320.3</v>
      </c>
      <c r="J565">
        <v>2</v>
      </c>
      <c r="K565">
        <v>2</v>
      </c>
      <c r="L565" t="s">
        <v>29</v>
      </c>
      <c r="M565" t="s">
        <v>68</v>
      </c>
      <c r="N565">
        <v>4</v>
      </c>
      <c r="O565" t="s">
        <v>56</v>
      </c>
    </row>
    <row r="566" spans="1:15" x14ac:dyDescent="0.3">
      <c r="A566" t="s">
        <v>1063</v>
      </c>
      <c r="B566" s="3">
        <v>45586</v>
      </c>
      <c r="C566" t="s">
        <v>33</v>
      </c>
      <c r="D566" t="s">
        <v>171</v>
      </c>
      <c r="E566" t="s">
        <v>27</v>
      </c>
      <c r="F566" t="s">
        <v>36</v>
      </c>
      <c r="G566">
        <v>1783.28</v>
      </c>
      <c r="H566">
        <v>1137.6300000000001</v>
      </c>
      <c r="I566">
        <v>645.65</v>
      </c>
      <c r="K566">
        <v>4</v>
      </c>
      <c r="L566" t="s">
        <v>22</v>
      </c>
      <c r="M566" t="s">
        <v>68</v>
      </c>
      <c r="N566">
        <v>4</v>
      </c>
      <c r="O566" t="s">
        <v>21</v>
      </c>
    </row>
    <row r="567" spans="1:15" x14ac:dyDescent="0.3">
      <c r="A567" t="s">
        <v>1064</v>
      </c>
      <c r="B567" s="3">
        <v>45591</v>
      </c>
      <c r="C567" t="s">
        <v>17</v>
      </c>
      <c r="D567" t="s">
        <v>100</v>
      </c>
      <c r="E567" t="s">
        <v>87</v>
      </c>
      <c r="F567" t="s">
        <v>28</v>
      </c>
      <c r="G567">
        <v>3313.54</v>
      </c>
      <c r="H567">
        <v>1948.23</v>
      </c>
      <c r="I567">
        <v>1365.31</v>
      </c>
      <c r="J567">
        <v>6</v>
      </c>
      <c r="K567">
        <v>1</v>
      </c>
      <c r="L567" t="s">
        <v>29</v>
      </c>
      <c r="M567" t="s">
        <v>68</v>
      </c>
      <c r="N567">
        <v>4</v>
      </c>
      <c r="O567" t="s">
        <v>56</v>
      </c>
    </row>
    <row r="568" spans="1:15" x14ac:dyDescent="0.3">
      <c r="A568" t="s">
        <v>1065</v>
      </c>
      <c r="B568" s="3">
        <v>45426</v>
      </c>
      <c r="C568" t="s">
        <v>7</v>
      </c>
      <c r="D568" t="s">
        <v>55</v>
      </c>
      <c r="E568" t="s">
        <v>27</v>
      </c>
      <c r="F568" t="s">
        <v>44</v>
      </c>
      <c r="G568">
        <v>3353.47</v>
      </c>
      <c r="H568">
        <v>2640.5</v>
      </c>
      <c r="I568">
        <v>712.97</v>
      </c>
      <c r="J568">
        <v>8</v>
      </c>
      <c r="K568">
        <v>4</v>
      </c>
      <c r="L568" t="s">
        <v>22</v>
      </c>
      <c r="M568" t="s">
        <v>104</v>
      </c>
      <c r="N568">
        <v>2</v>
      </c>
      <c r="O568" t="s">
        <v>56</v>
      </c>
    </row>
    <row r="569" spans="1:15" x14ac:dyDescent="0.3">
      <c r="A569" t="s">
        <v>1067</v>
      </c>
      <c r="B569" s="3">
        <v>45498</v>
      </c>
      <c r="C569" t="s">
        <v>33</v>
      </c>
      <c r="D569" t="s">
        <v>119</v>
      </c>
      <c r="E569" t="s">
        <v>19</v>
      </c>
      <c r="F569" t="s">
        <v>176</v>
      </c>
      <c r="G569">
        <v>3136.18</v>
      </c>
      <c r="H569">
        <v>2291.79</v>
      </c>
      <c r="I569">
        <v>844.39</v>
      </c>
      <c r="J569">
        <v>7</v>
      </c>
      <c r="K569">
        <v>2</v>
      </c>
      <c r="L569" t="s">
        <v>22</v>
      </c>
      <c r="M569" t="s">
        <v>54</v>
      </c>
      <c r="N569">
        <v>3</v>
      </c>
      <c r="O569" t="s">
        <v>56</v>
      </c>
    </row>
    <row r="570" spans="1:15" x14ac:dyDescent="0.3">
      <c r="A570" t="s">
        <v>1068</v>
      </c>
      <c r="B570" s="3">
        <v>45394</v>
      </c>
      <c r="C570" t="s">
        <v>59</v>
      </c>
      <c r="D570" t="s">
        <v>108</v>
      </c>
      <c r="E570" t="s">
        <v>35</v>
      </c>
      <c r="F570" t="s">
        <v>36</v>
      </c>
      <c r="G570">
        <v>2803.42</v>
      </c>
      <c r="H570">
        <v>1707.8</v>
      </c>
      <c r="I570">
        <v>1095.6199999999999</v>
      </c>
      <c r="J570">
        <v>10</v>
      </c>
      <c r="K570">
        <v>4</v>
      </c>
      <c r="L570" t="s">
        <v>22</v>
      </c>
      <c r="M570" t="s">
        <v>16</v>
      </c>
      <c r="N570">
        <v>2</v>
      </c>
      <c r="O570" t="s">
        <v>56</v>
      </c>
    </row>
    <row r="571" spans="1:15" x14ac:dyDescent="0.3">
      <c r="A571" t="s">
        <v>1069</v>
      </c>
      <c r="B571" s="3">
        <v>45590</v>
      </c>
      <c r="C571" t="s">
        <v>59</v>
      </c>
      <c r="D571" t="s">
        <v>301</v>
      </c>
      <c r="E571" t="s">
        <v>87</v>
      </c>
      <c r="F571" t="s">
        <v>36</v>
      </c>
      <c r="G571">
        <v>1332.83</v>
      </c>
      <c r="H571">
        <v>733.09</v>
      </c>
      <c r="I571">
        <v>599.74</v>
      </c>
      <c r="K571">
        <v>4</v>
      </c>
      <c r="L571" t="s">
        <v>29</v>
      </c>
      <c r="M571" t="s">
        <v>68</v>
      </c>
      <c r="N571">
        <v>4</v>
      </c>
      <c r="O571" t="s">
        <v>21</v>
      </c>
    </row>
    <row r="572" spans="1:15" x14ac:dyDescent="0.3">
      <c r="A572" t="s">
        <v>1071</v>
      </c>
      <c r="B572" s="3">
        <v>45585</v>
      </c>
      <c r="C572" t="s">
        <v>42</v>
      </c>
      <c r="D572" t="s">
        <v>1698</v>
      </c>
      <c r="E572" t="s">
        <v>84</v>
      </c>
      <c r="F572" t="s">
        <v>28</v>
      </c>
      <c r="G572">
        <v>3403.3</v>
      </c>
      <c r="H572">
        <v>2553.71</v>
      </c>
      <c r="I572">
        <v>849.59</v>
      </c>
      <c r="K572">
        <v>4</v>
      </c>
      <c r="L572" t="s">
        <v>22</v>
      </c>
      <c r="M572" t="s">
        <v>68</v>
      </c>
      <c r="N572">
        <v>4</v>
      </c>
      <c r="O572" t="s">
        <v>21</v>
      </c>
    </row>
    <row r="573" spans="1:15" x14ac:dyDescent="0.3">
      <c r="A573" t="s">
        <v>1073</v>
      </c>
      <c r="B573" s="3">
        <v>45403</v>
      </c>
      <c r="C573" t="s">
        <v>7</v>
      </c>
      <c r="D573" t="s">
        <v>128</v>
      </c>
      <c r="E573" t="s">
        <v>27</v>
      </c>
      <c r="F573" t="s">
        <v>28</v>
      </c>
      <c r="G573">
        <v>3194.27</v>
      </c>
      <c r="H573">
        <v>2085.2800000000002</v>
      </c>
      <c r="I573">
        <v>1108.99</v>
      </c>
      <c r="K573">
        <v>3</v>
      </c>
      <c r="L573" t="s">
        <v>22</v>
      </c>
      <c r="M573" t="s">
        <v>16</v>
      </c>
      <c r="N573">
        <v>2</v>
      </c>
      <c r="O573" t="s">
        <v>21</v>
      </c>
    </row>
    <row r="574" spans="1:15" x14ac:dyDescent="0.3">
      <c r="A574" t="s">
        <v>1075</v>
      </c>
      <c r="B574" s="3">
        <v>45625</v>
      </c>
      <c r="C574" t="s">
        <v>59</v>
      </c>
      <c r="D574" t="s">
        <v>308</v>
      </c>
      <c r="E574" t="s">
        <v>84</v>
      </c>
      <c r="F574" t="s">
        <v>20</v>
      </c>
      <c r="G574">
        <v>1405.3</v>
      </c>
      <c r="H574">
        <v>1104.03</v>
      </c>
      <c r="I574">
        <v>301.27</v>
      </c>
      <c r="K574">
        <v>2</v>
      </c>
      <c r="L574" t="s">
        <v>22</v>
      </c>
      <c r="M574" t="s">
        <v>111</v>
      </c>
      <c r="N574">
        <v>4</v>
      </c>
      <c r="O574" t="s">
        <v>21</v>
      </c>
    </row>
    <row r="575" spans="1:15" x14ac:dyDescent="0.3">
      <c r="A575" t="s">
        <v>1076</v>
      </c>
      <c r="B575" s="3">
        <v>45555</v>
      </c>
      <c r="C575" t="s">
        <v>59</v>
      </c>
      <c r="D575" t="s">
        <v>108</v>
      </c>
      <c r="E575" t="s">
        <v>40</v>
      </c>
      <c r="F575" t="s">
        <v>44</v>
      </c>
      <c r="G575">
        <v>2520.48</v>
      </c>
      <c r="H575">
        <v>1872.08</v>
      </c>
      <c r="I575">
        <v>648.4</v>
      </c>
      <c r="K575">
        <v>5</v>
      </c>
      <c r="L575" t="s">
        <v>22</v>
      </c>
      <c r="M575" t="s">
        <v>115</v>
      </c>
      <c r="N575">
        <v>3</v>
      </c>
      <c r="O575" t="s">
        <v>21</v>
      </c>
    </row>
    <row r="576" spans="1:15" x14ac:dyDescent="0.3">
      <c r="A576" t="s">
        <v>1077</v>
      </c>
      <c r="B576" s="3">
        <v>45493</v>
      </c>
      <c r="C576" t="s">
        <v>17</v>
      </c>
      <c r="D576" t="s">
        <v>96</v>
      </c>
      <c r="E576" t="s">
        <v>19</v>
      </c>
      <c r="F576" t="s">
        <v>36</v>
      </c>
      <c r="G576">
        <v>1770.76</v>
      </c>
      <c r="H576">
        <v>1226.71</v>
      </c>
      <c r="I576">
        <v>544.04999999999995</v>
      </c>
      <c r="K576">
        <v>5</v>
      </c>
      <c r="L576" t="s">
        <v>22</v>
      </c>
      <c r="M576" t="s">
        <v>54</v>
      </c>
      <c r="N576">
        <v>3</v>
      </c>
      <c r="O576" t="s">
        <v>21</v>
      </c>
    </row>
    <row r="577" spans="1:15" x14ac:dyDescent="0.3">
      <c r="A577" t="s">
        <v>1078</v>
      </c>
      <c r="B577" s="3">
        <v>45639</v>
      </c>
      <c r="C577" t="s">
        <v>7</v>
      </c>
      <c r="D577" t="s">
        <v>185</v>
      </c>
      <c r="E577" t="s">
        <v>40</v>
      </c>
      <c r="F577" t="s">
        <v>73</v>
      </c>
      <c r="G577">
        <v>2823.78</v>
      </c>
      <c r="H577">
        <v>2064.31</v>
      </c>
      <c r="I577">
        <v>759.47</v>
      </c>
      <c r="K577">
        <v>4</v>
      </c>
      <c r="L577" t="s">
        <v>22</v>
      </c>
      <c r="M577" t="s">
        <v>179</v>
      </c>
      <c r="N577">
        <v>4</v>
      </c>
      <c r="O577" t="s">
        <v>21</v>
      </c>
    </row>
    <row r="578" spans="1:15" x14ac:dyDescent="0.3">
      <c r="A578" t="s">
        <v>1079</v>
      </c>
      <c r="B578" s="3">
        <v>45363</v>
      </c>
      <c r="C578" t="s">
        <v>59</v>
      </c>
      <c r="D578" t="s">
        <v>108</v>
      </c>
      <c r="E578" t="s">
        <v>27</v>
      </c>
      <c r="F578" t="s">
        <v>36</v>
      </c>
      <c r="G578">
        <v>1759.43</v>
      </c>
      <c r="H578">
        <v>1215.26</v>
      </c>
      <c r="I578">
        <v>544.16999999999996</v>
      </c>
      <c r="K578">
        <v>4</v>
      </c>
      <c r="L578" t="s">
        <v>22</v>
      </c>
      <c r="M578" t="s">
        <v>76</v>
      </c>
      <c r="N578">
        <v>1</v>
      </c>
      <c r="O578" t="s">
        <v>21</v>
      </c>
    </row>
    <row r="579" spans="1:15" x14ac:dyDescent="0.3">
      <c r="A579" t="s">
        <v>1080</v>
      </c>
      <c r="B579" s="3">
        <v>45612</v>
      </c>
      <c r="C579" t="s">
        <v>7</v>
      </c>
      <c r="D579" t="s">
        <v>65</v>
      </c>
      <c r="E579" t="s">
        <v>35</v>
      </c>
      <c r="F579" t="s">
        <v>36</v>
      </c>
      <c r="G579">
        <v>4128.34</v>
      </c>
      <c r="H579">
        <v>2643.92</v>
      </c>
      <c r="I579">
        <v>1484.42</v>
      </c>
      <c r="K579">
        <v>5</v>
      </c>
      <c r="L579" t="s">
        <v>29</v>
      </c>
      <c r="M579" t="s">
        <v>111</v>
      </c>
      <c r="N579">
        <v>4</v>
      </c>
      <c r="O579" t="s">
        <v>21</v>
      </c>
    </row>
    <row r="580" spans="1:15" x14ac:dyDescent="0.3">
      <c r="A580" t="s">
        <v>1081</v>
      </c>
      <c r="B580" s="3">
        <v>45510</v>
      </c>
      <c r="C580" t="s">
        <v>59</v>
      </c>
      <c r="D580" t="s">
        <v>60</v>
      </c>
      <c r="E580" t="s">
        <v>87</v>
      </c>
      <c r="F580" t="s">
        <v>28</v>
      </c>
      <c r="G580">
        <v>2301.6799999999998</v>
      </c>
      <c r="H580">
        <v>1821.06</v>
      </c>
      <c r="I580">
        <v>480.62</v>
      </c>
      <c r="J580">
        <v>2</v>
      </c>
      <c r="K580">
        <v>1</v>
      </c>
      <c r="L580" t="s">
        <v>22</v>
      </c>
      <c r="M580" t="s">
        <v>32</v>
      </c>
      <c r="N580">
        <v>3</v>
      </c>
      <c r="O580" t="s">
        <v>56</v>
      </c>
    </row>
    <row r="581" spans="1:15" x14ac:dyDescent="0.3">
      <c r="A581" t="s">
        <v>1082</v>
      </c>
      <c r="B581" s="3">
        <v>45582</v>
      </c>
      <c r="C581" t="s">
        <v>33</v>
      </c>
      <c r="D581" t="s">
        <v>39</v>
      </c>
      <c r="E581" t="s">
        <v>40</v>
      </c>
      <c r="F581" t="s">
        <v>73</v>
      </c>
      <c r="G581">
        <v>592.04999999999995</v>
      </c>
      <c r="H581">
        <v>442.46</v>
      </c>
      <c r="I581">
        <v>149.59</v>
      </c>
      <c r="K581">
        <v>4</v>
      </c>
      <c r="L581" t="s">
        <v>22</v>
      </c>
      <c r="M581" t="s">
        <v>68</v>
      </c>
      <c r="N581">
        <v>4</v>
      </c>
      <c r="O581" t="s">
        <v>21</v>
      </c>
    </row>
    <row r="582" spans="1:15" x14ac:dyDescent="0.3">
      <c r="A582" t="s">
        <v>1084</v>
      </c>
      <c r="B582" s="3">
        <v>45611</v>
      </c>
      <c r="C582" t="s">
        <v>7</v>
      </c>
      <c r="D582" t="s">
        <v>185</v>
      </c>
      <c r="E582" t="s">
        <v>40</v>
      </c>
      <c r="F582" t="s">
        <v>28</v>
      </c>
      <c r="G582">
        <v>3256.22</v>
      </c>
      <c r="H582">
        <v>1872.08</v>
      </c>
      <c r="I582">
        <v>1384.14</v>
      </c>
      <c r="K582">
        <v>5</v>
      </c>
      <c r="L582" t="s">
        <v>22</v>
      </c>
      <c r="M582" t="s">
        <v>111</v>
      </c>
      <c r="N582">
        <v>4</v>
      </c>
      <c r="O582" t="s">
        <v>21</v>
      </c>
    </row>
    <row r="583" spans="1:15" x14ac:dyDescent="0.3">
      <c r="A583" t="s">
        <v>1086</v>
      </c>
      <c r="B583" s="3">
        <v>45523</v>
      </c>
      <c r="C583" t="s">
        <v>7</v>
      </c>
      <c r="D583" t="s">
        <v>131</v>
      </c>
      <c r="E583" t="s">
        <v>87</v>
      </c>
      <c r="F583" t="s">
        <v>44</v>
      </c>
      <c r="G583">
        <v>2465.21</v>
      </c>
      <c r="H583">
        <v>1366.99</v>
      </c>
      <c r="I583">
        <v>1098.22</v>
      </c>
      <c r="K583">
        <v>4</v>
      </c>
      <c r="L583" t="s">
        <v>29</v>
      </c>
      <c r="M583" t="s">
        <v>32</v>
      </c>
      <c r="N583">
        <v>3</v>
      </c>
      <c r="O583" t="s">
        <v>21</v>
      </c>
    </row>
    <row r="584" spans="1:15" x14ac:dyDescent="0.3">
      <c r="A584" t="s">
        <v>1087</v>
      </c>
      <c r="B584" s="3">
        <v>45431</v>
      </c>
      <c r="C584" t="s">
        <v>17</v>
      </c>
      <c r="D584" t="s">
        <v>226</v>
      </c>
      <c r="E584" t="s">
        <v>35</v>
      </c>
      <c r="F584" t="s">
        <v>36</v>
      </c>
      <c r="G584">
        <v>3354.84</v>
      </c>
      <c r="H584">
        <v>2251.6799999999998</v>
      </c>
      <c r="I584">
        <v>1103.1600000000001</v>
      </c>
      <c r="K584">
        <v>5</v>
      </c>
      <c r="L584" t="s">
        <v>22</v>
      </c>
      <c r="M584" t="s">
        <v>104</v>
      </c>
      <c r="N584">
        <v>2</v>
      </c>
      <c r="O584" t="s">
        <v>21</v>
      </c>
    </row>
    <row r="585" spans="1:15" x14ac:dyDescent="0.3">
      <c r="A585" t="s">
        <v>1089</v>
      </c>
      <c r="B585" s="3">
        <v>45509</v>
      </c>
      <c r="C585" t="s">
        <v>7</v>
      </c>
      <c r="D585" t="s">
        <v>69</v>
      </c>
      <c r="E585" t="s">
        <v>35</v>
      </c>
      <c r="F585" t="s">
        <v>845</v>
      </c>
      <c r="G585">
        <v>2166.4299999999998</v>
      </c>
      <c r="H585">
        <v>1581.66</v>
      </c>
      <c r="I585">
        <v>584.77</v>
      </c>
      <c r="K585">
        <v>5</v>
      </c>
      <c r="L585" t="s">
        <v>29</v>
      </c>
      <c r="M585" t="s">
        <v>32</v>
      </c>
      <c r="N585">
        <v>3</v>
      </c>
      <c r="O585" t="s">
        <v>21</v>
      </c>
    </row>
    <row r="586" spans="1:15" x14ac:dyDescent="0.3">
      <c r="A586" t="s">
        <v>1091</v>
      </c>
      <c r="B586" s="3">
        <v>45342</v>
      </c>
      <c r="C586" t="s">
        <v>7</v>
      </c>
      <c r="D586" t="s">
        <v>55</v>
      </c>
      <c r="E586" t="s">
        <v>87</v>
      </c>
      <c r="F586" t="s">
        <v>36</v>
      </c>
      <c r="G586">
        <v>1909.64</v>
      </c>
      <c r="H586">
        <v>1377.57</v>
      </c>
      <c r="I586">
        <v>532.07000000000005</v>
      </c>
      <c r="K586">
        <v>3</v>
      </c>
      <c r="L586" t="s">
        <v>29</v>
      </c>
      <c r="M586" t="s">
        <v>124</v>
      </c>
      <c r="N586">
        <v>1</v>
      </c>
      <c r="O586" t="s">
        <v>21</v>
      </c>
    </row>
    <row r="587" spans="1:15" x14ac:dyDescent="0.3">
      <c r="A587" t="s">
        <v>1093</v>
      </c>
      <c r="B587" s="3">
        <v>45459</v>
      </c>
      <c r="C587" t="s">
        <v>42</v>
      </c>
      <c r="D587" t="s">
        <v>80</v>
      </c>
      <c r="E587" t="s">
        <v>87</v>
      </c>
      <c r="F587" t="s">
        <v>36</v>
      </c>
      <c r="G587">
        <v>1172.0999999999999</v>
      </c>
      <c r="H587">
        <v>1016.76</v>
      </c>
      <c r="I587">
        <v>155.34</v>
      </c>
      <c r="J587">
        <v>11</v>
      </c>
      <c r="K587">
        <v>4</v>
      </c>
      <c r="L587" t="s">
        <v>22</v>
      </c>
      <c r="M587" t="s">
        <v>64</v>
      </c>
      <c r="N587">
        <v>2</v>
      </c>
      <c r="O587" t="s">
        <v>56</v>
      </c>
    </row>
    <row r="588" spans="1:15" x14ac:dyDescent="0.3">
      <c r="A588" t="s">
        <v>1094</v>
      </c>
      <c r="B588" s="3">
        <v>45306</v>
      </c>
      <c r="C588" t="s">
        <v>33</v>
      </c>
      <c r="D588" t="s">
        <v>39</v>
      </c>
      <c r="E588" t="s">
        <v>87</v>
      </c>
      <c r="F588" t="s">
        <v>36</v>
      </c>
      <c r="G588">
        <v>2203.2800000000002</v>
      </c>
      <c r="H588">
        <v>1604.71</v>
      </c>
      <c r="I588">
        <v>598.57000000000005</v>
      </c>
      <c r="K588">
        <v>4</v>
      </c>
      <c r="L588" t="s">
        <v>22</v>
      </c>
      <c r="M588" t="s">
        <v>25</v>
      </c>
      <c r="N588">
        <v>1</v>
      </c>
      <c r="O588" t="s">
        <v>21</v>
      </c>
    </row>
    <row r="589" spans="1:15" x14ac:dyDescent="0.3">
      <c r="A589" t="s">
        <v>1096</v>
      </c>
      <c r="B589" s="3">
        <v>45429</v>
      </c>
      <c r="C589" t="s">
        <v>33</v>
      </c>
      <c r="D589" t="s">
        <v>205</v>
      </c>
      <c r="E589" t="s">
        <v>87</v>
      </c>
      <c r="F589" t="s">
        <v>44</v>
      </c>
      <c r="G589">
        <v>2746.63</v>
      </c>
      <c r="H589">
        <v>2075.96</v>
      </c>
      <c r="I589">
        <v>670.67</v>
      </c>
      <c r="K589">
        <v>5</v>
      </c>
      <c r="L589" t="s">
        <v>22</v>
      </c>
      <c r="M589" t="s">
        <v>104</v>
      </c>
      <c r="N589">
        <v>2</v>
      </c>
      <c r="O589" t="s">
        <v>21</v>
      </c>
    </row>
    <row r="590" spans="1:15" x14ac:dyDescent="0.3">
      <c r="A590" t="s">
        <v>1098</v>
      </c>
      <c r="B590" s="3">
        <v>45549</v>
      </c>
      <c r="C590" t="s">
        <v>59</v>
      </c>
      <c r="D590" t="s">
        <v>308</v>
      </c>
      <c r="E590" t="s">
        <v>19</v>
      </c>
      <c r="F590" t="s">
        <v>36</v>
      </c>
      <c r="G590">
        <v>2776.61</v>
      </c>
      <c r="H590">
        <v>2099.0100000000002</v>
      </c>
      <c r="I590">
        <v>677.6</v>
      </c>
      <c r="K590">
        <v>4</v>
      </c>
      <c r="L590" t="s">
        <v>22</v>
      </c>
      <c r="M590" t="s">
        <v>115</v>
      </c>
      <c r="N590">
        <v>3</v>
      </c>
      <c r="O590" t="s">
        <v>21</v>
      </c>
    </row>
    <row r="591" spans="1:15" x14ac:dyDescent="0.3">
      <c r="A591" t="s">
        <v>1099</v>
      </c>
      <c r="B591" s="3">
        <v>45575</v>
      </c>
      <c r="C591" t="s">
        <v>59</v>
      </c>
      <c r="D591" t="s">
        <v>1698</v>
      </c>
      <c r="E591" t="s">
        <v>84</v>
      </c>
      <c r="F591" t="s">
        <v>73</v>
      </c>
      <c r="G591">
        <v>1680.1</v>
      </c>
      <c r="H591">
        <v>1079.01</v>
      </c>
      <c r="I591">
        <v>601.09</v>
      </c>
      <c r="K591">
        <v>5</v>
      </c>
      <c r="L591" t="s">
        <v>22</v>
      </c>
      <c r="M591" t="s">
        <v>68</v>
      </c>
      <c r="N591">
        <v>4</v>
      </c>
      <c r="O591" t="s">
        <v>21</v>
      </c>
    </row>
    <row r="592" spans="1:15" x14ac:dyDescent="0.3">
      <c r="A592" t="s">
        <v>1100</v>
      </c>
      <c r="B592" s="3">
        <v>45544</v>
      </c>
      <c r="C592" t="s">
        <v>59</v>
      </c>
      <c r="D592" t="s">
        <v>116</v>
      </c>
      <c r="E592" t="s">
        <v>27</v>
      </c>
      <c r="F592" t="s">
        <v>36</v>
      </c>
      <c r="G592">
        <v>4281.72</v>
      </c>
      <c r="H592">
        <v>2882.49</v>
      </c>
      <c r="I592">
        <v>1399.23</v>
      </c>
      <c r="J592">
        <v>7</v>
      </c>
      <c r="K592">
        <v>1</v>
      </c>
      <c r="L592" t="s">
        <v>22</v>
      </c>
      <c r="M592" t="s">
        <v>115</v>
      </c>
      <c r="N592">
        <v>3</v>
      </c>
      <c r="O592" t="s">
        <v>56</v>
      </c>
    </row>
    <row r="593" spans="1:15" x14ac:dyDescent="0.3">
      <c r="A593" t="s">
        <v>1102</v>
      </c>
      <c r="B593" s="3">
        <v>45318</v>
      </c>
      <c r="C593" t="s">
        <v>59</v>
      </c>
      <c r="D593" t="s">
        <v>108</v>
      </c>
      <c r="E593" t="s">
        <v>40</v>
      </c>
      <c r="F593" t="s">
        <v>28</v>
      </c>
      <c r="G593">
        <v>2298.6</v>
      </c>
      <c r="H593">
        <v>1369.82</v>
      </c>
      <c r="I593">
        <v>928.78</v>
      </c>
      <c r="K593">
        <v>4</v>
      </c>
      <c r="L593" t="s">
        <v>22</v>
      </c>
      <c r="M593" t="s">
        <v>25</v>
      </c>
      <c r="N593">
        <v>1</v>
      </c>
      <c r="O593" t="s">
        <v>21</v>
      </c>
    </row>
    <row r="594" spans="1:15" x14ac:dyDescent="0.3">
      <c r="A594" t="s">
        <v>1103</v>
      </c>
      <c r="B594" s="3">
        <v>45373</v>
      </c>
      <c r="C594" t="s">
        <v>17</v>
      </c>
      <c r="D594" t="s">
        <v>226</v>
      </c>
      <c r="E594" t="s">
        <v>19</v>
      </c>
      <c r="F594" t="s">
        <v>28</v>
      </c>
      <c r="G594">
        <v>1737</v>
      </c>
      <c r="H594">
        <v>958.66</v>
      </c>
      <c r="I594">
        <v>778.34</v>
      </c>
      <c r="J594">
        <v>7</v>
      </c>
      <c r="L594" t="s">
        <v>22</v>
      </c>
      <c r="M594" t="s">
        <v>76</v>
      </c>
      <c r="N594">
        <v>1</v>
      </c>
      <c r="O594" t="s">
        <v>56</v>
      </c>
    </row>
    <row r="595" spans="1:15" x14ac:dyDescent="0.3">
      <c r="A595" t="s">
        <v>1105</v>
      </c>
      <c r="B595" s="3">
        <v>45444</v>
      </c>
      <c r="C595" t="s">
        <v>42</v>
      </c>
      <c r="D595" t="s">
        <v>162</v>
      </c>
      <c r="E595" t="s">
        <v>27</v>
      </c>
      <c r="F595" t="s">
        <v>28</v>
      </c>
      <c r="G595">
        <v>3227.59</v>
      </c>
      <c r="H595">
        <v>2678.37</v>
      </c>
      <c r="I595">
        <v>549.22</v>
      </c>
      <c r="J595">
        <v>5</v>
      </c>
      <c r="K595">
        <v>2</v>
      </c>
      <c r="L595" t="s">
        <v>29</v>
      </c>
      <c r="M595" t="s">
        <v>64</v>
      </c>
      <c r="N595">
        <v>2</v>
      </c>
      <c r="O595" t="s">
        <v>56</v>
      </c>
    </row>
    <row r="596" spans="1:15" x14ac:dyDescent="0.3">
      <c r="A596" t="s">
        <v>1106</v>
      </c>
      <c r="B596" s="3">
        <v>45324</v>
      </c>
      <c r="C596" t="s">
        <v>7</v>
      </c>
      <c r="D596" t="s">
        <v>185</v>
      </c>
      <c r="E596" t="s">
        <v>40</v>
      </c>
      <c r="F596" t="s">
        <v>36</v>
      </c>
      <c r="G596">
        <v>1296.21</v>
      </c>
      <c r="H596">
        <v>902.7</v>
      </c>
      <c r="I596">
        <v>393.51</v>
      </c>
      <c r="K596">
        <v>1</v>
      </c>
      <c r="L596" t="s">
        <v>22</v>
      </c>
      <c r="M596" t="s">
        <v>124</v>
      </c>
      <c r="N596">
        <v>1</v>
      </c>
      <c r="O596" t="s">
        <v>21</v>
      </c>
    </row>
    <row r="597" spans="1:15" x14ac:dyDescent="0.3">
      <c r="A597" t="s">
        <v>1107</v>
      </c>
      <c r="B597" s="3">
        <v>45444</v>
      </c>
      <c r="C597" t="s">
        <v>59</v>
      </c>
      <c r="D597" t="s">
        <v>108</v>
      </c>
      <c r="E597" t="s">
        <v>87</v>
      </c>
      <c r="F597" t="s">
        <v>73</v>
      </c>
      <c r="G597">
        <v>2955.54</v>
      </c>
      <c r="H597">
        <v>2054.04</v>
      </c>
      <c r="I597">
        <v>901.5</v>
      </c>
      <c r="K597">
        <v>4</v>
      </c>
      <c r="L597" t="s">
        <v>22</v>
      </c>
      <c r="M597" t="s">
        <v>64</v>
      </c>
      <c r="N597">
        <v>2</v>
      </c>
      <c r="O597" t="s">
        <v>21</v>
      </c>
    </row>
    <row r="598" spans="1:15" x14ac:dyDescent="0.3">
      <c r="A598" t="s">
        <v>1108</v>
      </c>
      <c r="B598" s="3">
        <v>45293</v>
      </c>
      <c r="C598" t="s">
        <v>7</v>
      </c>
      <c r="D598" t="s">
        <v>55</v>
      </c>
      <c r="E598" t="s">
        <v>87</v>
      </c>
      <c r="F598" t="s">
        <v>73</v>
      </c>
      <c r="G598">
        <v>2062.65</v>
      </c>
      <c r="H598">
        <v>1143.29</v>
      </c>
      <c r="I598">
        <v>919.36</v>
      </c>
      <c r="K598">
        <v>5</v>
      </c>
      <c r="L598" t="s">
        <v>22</v>
      </c>
      <c r="M598" t="s">
        <v>25</v>
      </c>
      <c r="N598">
        <v>1</v>
      </c>
      <c r="O598" t="s">
        <v>21</v>
      </c>
    </row>
    <row r="599" spans="1:15" x14ac:dyDescent="0.3">
      <c r="A599" t="s">
        <v>1109</v>
      </c>
      <c r="B599" s="3">
        <v>45542</v>
      </c>
      <c r="C599" t="s">
        <v>17</v>
      </c>
      <c r="D599" t="s">
        <v>18</v>
      </c>
      <c r="E599" t="s">
        <v>87</v>
      </c>
      <c r="F599" t="s">
        <v>36</v>
      </c>
      <c r="G599">
        <v>2669.2</v>
      </c>
      <c r="H599">
        <v>1557.88</v>
      </c>
      <c r="I599">
        <v>1111.32</v>
      </c>
      <c r="L599" t="s">
        <v>29</v>
      </c>
      <c r="M599" t="s">
        <v>115</v>
      </c>
      <c r="N599">
        <v>3</v>
      </c>
      <c r="O599" t="s">
        <v>21</v>
      </c>
    </row>
    <row r="600" spans="1:15" x14ac:dyDescent="0.3">
      <c r="A600" t="s">
        <v>1110</v>
      </c>
      <c r="B600" s="3">
        <v>45550</v>
      </c>
      <c r="C600" t="s">
        <v>42</v>
      </c>
      <c r="D600" t="s">
        <v>77</v>
      </c>
      <c r="E600" t="s">
        <v>84</v>
      </c>
      <c r="F600" t="s">
        <v>28</v>
      </c>
      <c r="G600">
        <v>519.98</v>
      </c>
      <c r="H600">
        <v>370.84</v>
      </c>
      <c r="I600">
        <v>149.13999999999999</v>
      </c>
      <c r="J600">
        <v>4</v>
      </c>
      <c r="K600">
        <v>4</v>
      </c>
      <c r="L600" t="s">
        <v>22</v>
      </c>
      <c r="M600" t="s">
        <v>115</v>
      </c>
      <c r="N600">
        <v>3</v>
      </c>
      <c r="O600" t="s">
        <v>56</v>
      </c>
    </row>
    <row r="601" spans="1:15" x14ac:dyDescent="0.3">
      <c r="A601" t="s">
        <v>1112</v>
      </c>
      <c r="B601" s="3">
        <v>45527</v>
      </c>
      <c r="C601" t="s">
        <v>7</v>
      </c>
      <c r="D601" t="s">
        <v>182</v>
      </c>
      <c r="E601" t="s">
        <v>84</v>
      </c>
      <c r="F601" t="s">
        <v>36</v>
      </c>
      <c r="G601">
        <v>1718.22</v>
      </c>
      <c r="H601">
        <v>947.24</v>
      </c>
      <c r="I601">
        <v>770.98</v>
      </c>
      <c r="K601">
        <v>4</v>
      </c>
      <c r="L601" t="s">
        <v>29</v>
      </c>
      <c r="M601" t="s">
        <v>32</v>
      </c>
      <c r="N601">
        <v>3</v>
      </c>
      <c r="O601" t="s">
        <v>21</v>
      </c>
    </row>
    <row r="602" spans="1:15" x14ac:dyDescent="0.3">
      <c r="A602" t="s">
        <v>1113</v>
      </c>
      <c r="B602" s="3">
        <v>45544</v>
      </c>
      <c r="C602" t="s">
        <v>7</v>
      </c>
      <c r="D602" t="s">
        <v>185</v>
      </c>
      <c r="E602" t="s">
        <v>27</v>
      </c>
      <c r="F602" t="s">
        <v>28</v>
      </c>
      <c r="G602">
        <v>2805.65</v>
      </c>
      <c r="H602">
        <v>1684.74</v>
      </c>
      <c r="I602">
        <v>1120.9100000000001</v>
      </c>
      <c r="K602">
        <v>4</v>
      </c>
      <c r="L602" t="s">
        <v>22</v>
      </c>
      <c r="M602" t="s">
        <v>115</v>
      </c>
      <c r="N602">
        <v>3</v>
      </c>
      <c r="O602" t="s">
        <v>21</v>
      </c>
    </row>
    <row r="603" spans="1:15" x14ac:dyDescent="0.3">
      <c r="A603" t="s">
        <v>1116</v>
      </c>
      <c r="B603" s="3">
        <v>45564</v>
      </c>
      <c r="C603" t="s">
        <v>33</v>
      </c>
      <c r="D603" t="s">
        <v>205</v>
      </c>
      <c r="E603" t="s">
        <v>27</v>
      </c>
      <c r="F603" t="s">
        <v>28</v>
      </c>
      <c r="G603">
        <v>1683.47</v>
      </c>
      <c r="H603">
        <v>1205.95</v>
      </c>
      <c r="I603">
        <v>477.52</v>
      </c>
      <c r="K603">
        <v>4</v>
      </c>
      <c r="L603" t="s">
        <v>29</v>
      </c>
      <c r="M603" t="s">
        <v>115</v>
      </c>
      <c r="N603">
        <v>3</v>
      </c>
      <c r="O603" t="s">
        <v>21</v>
      </c>
    </row>
    <row r="604" spans="1:15" x14ac:dyDescent="0.3">
      <c r="A604" t="s">
        <v>1118</v>
      </c>
      <c r="B604" s="3">
        <v>45639</v>
      </c>
      <c r="C604" t="s">
        <v>33</v>
      </c>
      <c r="D604" t="s">
        <v>119</v>
      </c>
      <c r="E604" t="s">
        <v>40</v>
      </c>
      <c r="F604" t="s">
        <v>20</v>
      </c>
      <c r="G604">
        <v>1104.46</v>
      </c>
      <c r="H604">
        <v>608.85</v>
      </c>
      <c r="I604">
        <v>495.61</v>
      </c>
      <c r="J604">
        <v>3</v>
      </c>
      <c r="K604">
        <v>2</v>
      </c>
      <c r="L604" t="s">
        <v>22</v>
      </c>
      <c r="M604" t="s">
        <v>179</v>
      </c>
      <c r="N604">
        <v>4</v>
      </c>
      <c r="O604" t="s">
        <v>56</v>
      </c>
    </row>
    <row r="605" spans="1:15" x14ac:dyDescent="0.3">
      <c r="A605" t="s">
        <v>1120</v>
      </c>
      <c r="B605" s="3">
        <v>45625</v>
      </c>
      <c r="C605" t="s">
        <v>17</v>
      </c>
      <c r="D605" t="s">
        <v>100</v>
      </c>
      <c r="E605" t="s">
        <v>19</v>
      </c>
      <c r="F605" t="s">
        <v>28</v>
      </c>
      <c r="G605">
        <v>1054.78</v>
      </c>
      <c r="H605">
        <v>793.25</v>
      </c>
      <c r="I605">
        <v>261.52999999999997</v>
      </c>
      <c r="K605">
        <v>4</v>
      </c>
      <c r="L605" t="s">
        <v>22</v>
      </c>
      <c r="M605" t="s">
        <v>111</v>
      </c>
      <c r="N605">
        <v>4</v>
      </c>
      <c r="O605" t="s">
        <v>21</v>
      </c>
    </row>
    <row r="606" spans="1:15" x14ac:dyDescent="0.3">
      <c r="A606" t="s">
        <v>1122</v>
      </c>
      <c r="B606" s="3">
        <v>45502</v>
      </c>
      <c r="C606" t="s">
        <v>42</v>
      </c>
      <c r="D606" t="s">
        <v>80</v>
      </c>
      <c r="E606" t="s">
        <v>1716</v>
      </c>
      <c r="F606" t="s">
        <v>73</v>
      </c>
      <c r="G606">
        <v>296.22000000000003</v>
      </c>
      <c r="H606">
        <v>255.89</v>
      </c>
      <c r="I606">
        <v>40.33</v>
      </c>
      <c r="J606">
        <v>9</v>
      </c>
      <c r="K606">
        <v>1</v>
      </c>
      <c r="L606" t="s">
        <v>22</v>
      </c>
      <c r="M606" t="s">
        <v>54</v>
      </c>
      <c r="N606">
        <v>3</v>
      </c>
      <c r="O606" t="s">
        <v>56</v>
      </c>
    </row>
    <row r="607" spans="1:15" x14ac:dyDescent="0.3">
      <c r="A607" t="s">
        <v>1124</v>
      </c>
      <c r="B607" s="3">
        <v>45624</v>
      </c>
      <c r="C607" t="s">
        <v>33</v>
      </c>
      <c r="D607" t="s">
        <v>105</v>
      </c>
      <c r="E607" t="s">
        <v>35</v>
      </c>
      <c r="F607" t="s">
        <v>73</v>
      </c>
      <c r="G607">
        <v>1074.42</v>
      </c>
      <c r="H607">
        <v>747.88</v>
      </c>
      <c r="I607">
        <v>326.54000000000002</v>
      </c>
      <c r="K607">
        <v>5</v>
      </c>
      <c r="L607" t="s">
        <v>29</v>
      </c>
      <c r="M607" t="s">
        <v>111</v>
      </c>
      <c r="N607">
        <v>4</v>
      </c>
      <c r="O607" t="s">
        <v>21</v>
      </c>
    </row>
    <row r="608" spans="1:15" x14ac:dyDescent="0.3">
      <c r="A608" t="s">
        <v>1126</v>
      </c>
      <c r="B608" s="3">
        <v>45416</v>
      </c>
      <c r="C608" t="s">
        <v>17</v>
      </c>
      <c r="D608" t="s">
        <v>18</v>
      </c>
      <c r="E608" t="s">
        <v>19</v>
      </c>
      <c r="F608" t="s">
        <v>28</v>
      </c>
      <c r="G608">
        <v>255.76</v>
      </c>
      <c r="H608">
        <v>201.3</v>
      </c>
      <c r="I608">
        <v>54.46</v>
      </c>
      <c r="K608">
        <v>4</v>
      </c>
      <c r="L608" t="s">
        <v>22</v>
      </c>
      <c r="M608" t="s">
        <v>104</v>
      </c>
      <c r="N608">
        <v>2</v>
      </c>
      <c r="O608" t="s">
        <v>21</v>
      </c>
    </row>
    <row r="609" spans="1:15" x14ac:dyDescent="0.3">
      <c r="A609" t="s">
        <v>1127</v>
      </c>
      <c r="B609" s="3">
        <v>45537</v>
      </c>
      <c r="C609" t="s">
        <v>7</v>
      </c>
      <c r="D609" t="s">
        <v>69</v>
      </c>
      <c r="E609" t="s">
        <v>27</v>
      </c>
      <c r="F609" t="s">
        <v>36</v>
      </c>
      <c r="G609">
        <v>2372.64</v>
      </c>
      <c r="H609">
        <v>1722.69</v>
      </c>
      <c r="I609">
        <v>649.95000000000005</v>
      </c>
      <c r="K609">
        <v>5</v>
      </c>
      <c r="L609" t="s">
        <v>22</v>
      </c>
      <c r="M609" t="s">
        <v>115</v>
      </c>
      <c r="N609">
        <v>3</v>
      </c>
      <c r="O609" t="s">
        <v>21</v>
      </c>
    </row>
    <row r="610" spans="1:15" x14ac:dyDescent="0.3">
      <c r="A610" t="s">
        <v>1129</v>
      </c>
      <c r="B610" s="3">
        <v>45565</v>
      </c>
      <c r="C610" t="s">
        <v>17</v>
      </c>
      <c r="D610" t="s">
        <v>26</v>
      </c>
      <c r="E610" t="s">
        <v>19</v>
      </c>
      <c r="F610" t="s">
        <v>36</v>
      </c>
      <c r="G610">
        <v>702.27</v>
      </c>
      <c r="H610">
        <v>497.37</v>
      </c>
      <c r="I610">
        <v>204.9</v>
      </c>
      <c r="K610">
        <v>4</v>
      </c>
      <c r="L610" t="s">
        <v>22</v>
      </c>
      <c r="M610" t="s">
        <v>115</v>
      </c>
      <c r="N610">
        <v>3</v>
      </c>
      <c r="O610" t="s">
        <v>21</v>
      </c>
    </row>
    <row r="611" spans="1:15" x14ac:dyDescent="0.3">
      <c r="A611" t="s">
        <v>1130</v>
      </c>
      <c r="B611" s="3">
        <v>45453</v>
      </c>
      <c r="C611" t="s">
        <v>42</v>
      </c>
      <c r="D611" t="s">
        <v>77</v>
      </c>
      <c r="E611" t="s">
        <v>19</v>
      </c>
      <c r="F611" t="s">
        <v>73</v>
      </c>
      <c r="G611">
        <v>3252.24</v>
      </c>
      <c r="H611">
        <v>2557.7199999999998</v>
      </c>
      <c r="I611">
        <v>694.52</v>
      </c>
      <c r="J611">
        <v>5</v>
      </c>
      <c r="K611">
        <v>1</v>
      </c>
      <c r="L611" t="s">
        <v>22</v>
      </c>
      <c r="M611" t="s">
        <v>64</v>
      </c>
      <c r="N611">
        <v>2</v>
      </c>
      <c r="O611" t="s">
        <v>56</v>
      </c>
    </row>
    <row r="612" spans="1:15" x14ac:dyDescent="0.3">
      <c r="A612" t="s">
        <v>1132</v>
      </c>
      <c r="B612" s="3">
        <v>45539</v>
      </c>
      <c r="C612" t="s">
        <v>42</v>
      </c>
      <c r="D612" t="s">
        <v>43</v>
      </c>
      <c r="E612" t="s">
        <v>35</v>
      </c>
      <c r="F612" t="s">
        <v>44</v>
      </c>
      <c r="G612">
        <v>3155.4</v>
      </c>
      <c r="H612">
        <v>2218.66</v>
      </c>
      <c r="I612">
        <v>936.74</v>
      </c>
      <c r="J612">
        <v>10</v>
      </c>
      <c r="K612">
        <v>3</v>
      </c>
      <c r="L612" t="s">
        <v>22</v>
      </c>
      <c r="M612" t="s">
        <v>115</v>
      </c>
      <c r="N612">
        <v>3</v>
      </c>
      <c r="O612" t="s">
        <v>56</v>
      </c>
    </row>
    <row r="613" spans="1:15" x14ac:dyDescent="0.3">
      <c r="A613" t="s">
        <v>1134</v>
      </c>
      <c r="B613" s="3">
        <v>45421</v>
      </c>
      <c r="C613" t="s">
        <v>42</v>
      </c>
      <c r="D613" t="s">
        <v>47</v>
      </c>
      <c r="E613" t="s">
        <v>35</v>
      </c>
      <c r="F613" t="s">
        <v>20</v>
      </c>
      <c r="G613">
        <v>876.3</v>
      </c>
      <c r="H613">
        <v>618</v>
      </c>
      <c r="I613">
        <v>258.3</v>
      </c>
      <c r="J613">
        <v>13</v>
      </c>
      <c r="K613">
        <v>5</v>
      </c>
      <c r="L613" t="s">
        <v>29</v>
      </c>
      <c r="M613" t="s">
        <v>104</v>
      </c>
      <c r="N613">
        <v>2</v>
      </c>
      <c r="O613" t="s">
        <v>56</v>
      </c>
    </row>
    <row r="614" spans="1:15" x14ac:dyDescent="0.3">
      <c r="A614" t="s">
        <v>1135</v>
      </c>
      <c r="B614" s="3">
        <v>45602</v>
      </c>
      <c r="C614" t="s">
        <v>59</v>
      </c>
      <c r="D614" t="s">
        <v>194</v>
      </c>
      <c r="E614" t="s">
        <v>27</v>
      </c>
      <c r="F614" t="s">
        <v>44</v>
      </c>
      <c r="G614">
        <v>2317.75</v>
      </c>
      <c r="H614">
        <v>1584.28</v>
      </c>
      <c r="I614">
        <v>733.47</v>
      </c>
      <c r="K614">
        <v>2</v>
      </c>
      <c r="L614" t="s">
        <v>22</v>
      </c>
      <c r="M614" t="s">
        <v>111</v>
      </c>
      <c r="N614">
        <v>4</v>
      </c>
      <c r="O614" t="s">
        <v>21</v>
      </c>
    </row>
    <row r="615" spans="1:15" x14ac:dyDescent="0.3">
      <c r="A615" t="s">
        <v>1137</v>
      </c>
      <c r="B615" s="3">
        <v>45428</v>
      </c>
      <c r="C615" t="s">
        <v>33</v>
      </c>
      <c r="D615" t="s">
        <v>1698</v>
      </c>
      <c r="E615" t="s">
        <v>19</v>
      </c>
      <c r="F615" t="s">
        <v>36</v>
      </c>
      <c r="G615">
        <v>2752.19</v>
      </c>
      <c r="H615">
        <v>1736.23</v>
      </c>
      <c r="I615">
        <v>1015.96</v>
      </c>
      <c r="J615">
        <v>6</v>
      </c>
      <c r="K615">
        <v>2</v>
      </c>
      <c r="L615" t="s">
        <v>22</v>
      </c>
      <c r="M615" t="s">
        <v>104</v>
      </c>
      <c r="N615">
        <v>2</v>
      </c>
      <c r="O615" t="s">
        <v>56</v>
      </c>
    </row>
    <row r="616" spans="1:15" x14ac:dyDescent="0.3">
      <c r="A616" t="s">
        <v>1138</v>
      </c>
      <c r="B616" s="3">
        <v>45423</v>
      </c>
      <c r="C616" t="s">
        <v>42</v>
      </c>
      <c r="D616" t="s">
        <v>47</v>
      </c>
      <c r="E616" t="s">
        <v>27</v>
      </c>
      <c r="F616" t="s">
        <v>36</v>
      </c>
      <c r="G616">
        <v>2786.52</v>
      </c>
      <c r="H616">
        <v>2392.1999999999998</v>
      </c>
      <c r="I616">
        <v>394.32</v>
      </c>
      <c r="K616">
        <v>5</v>
      </c>
      <c r="L616" t="s">
        <v>22</v>
      </c>
      <c r="M616" t="s">
        <v>104</v>
      </c>
      <c r="N616">
        <v>2</v>
      </c>
      <c r="O616" t="s">
        <v>21</v>
      </c>
    </row>
    <row r="617" spans="1:15" x14ac:dyDescent="0.3">
      <c r="A617" t="s">
        <v>1140</v>
      </c>
      <c r="B617" s="3">
        <v>45641</v>
      </c>
      <c r="C617" t="s">
        <v>42</v>
      </c>
      <c r="D617" t="s">
        <v>262</v>
      </c>
      <c r="E617" t="s">
        <v>87</v>
      </c>
      <c r="F617" t="s">
        <v>20</v>
      </c>
      <c r="G617">
        <v>2805.75</v>
      </c>
      <c r="H617">
        <v>2507.4</v>
      </c>
      <c r="I617">
        <v>298.35000000000002</v>
      </c>
      <c r="J617">
        <v>9</v>
      </c>
      <c r="K617">
        <v>4</v>
      </c>
      <c r="L617" t="s">
        <v>22</v>
      </c>
      <c r="M617" t="s">
        <v>179</v>
      </c>
      <c r="N617">
        <v>4</v>
      </c>
      <c r="O617" t="s">
        <v>56</v>
      </c>
    </row>
    <row r="618" spans="1:15" x14ac:dyDescent="0.3">
      <c r="A618" t="s">
        <v>1141</v>
      </c>
      <c r="B618" s="3">
        <v>45605</v>
      </c>
      <c r="C618" t="s">
        <v>33</v>
      </c>
      <c r="D618" t="s">
        <v>34</v>
      </c>
      <c r="E618" t="s">
        <v>84</v>
      </c>
      <c r="F618" t="s">
        <v>44</v>
      </c>
      <c r="G618">
        <v>923.55</v>
      </c>
      <c r="H618">
        <v>561.55999999999995</v>
      </c>
      <c r="I618">
        <v>361.99</v>
      </c>
      <c r="K618">
        <v>4</v>
      </c>
      <c r="L618" t="s">
        <v>22</v>
      </c>
      <c r="M618" t="s">
        <v>111</v>
      </c>
      <c r="N618">
        <v>4</v>
      </c>
      <c r="O618" t="s">
        <v>21</v>
      </c>
    </row>
    <row r="619" spans="1:15" x14ac:dyDescent="0.3">
      <c r="A619" t="s">
        <v>1143</v>
      </c>
      <c r="B619" s="3">
        <v>45626</v>
      </c>
      <c r="C619" t="s">
        <v>59</v>
      </c>
      <c r="D619" t="s">
        <v>194</v>
      </c>
      <c r="E619" t="s">
        <v>19</v>
      </c>
      <c r="F619" t="s">
        <v>20</v>
      </c>
      <c r="G619">
        <v>2617.7199999999998</v>
      </c>
      <c r="H619">
        <v>1618.15</v>
      </c>
      <c r="I619">
        <v>999.57</v>
      </c>
      <c r="L619" t="s">
        <v>22</v>
      </c>
      <c r="M619" t="s">
        <v>111</v>
      </c>
      <c r="N619">
        <v>4</v>
      </c>
      <c r="O619" t="s">
        <v>21</v>
      </c>
    </row>
    <row r="620" spans="1:15" x14ac:dyDescent="0.3">
      <c r="A620" t="s">
        <v>1145</v>
      </c>
      <c r="B620" s="3">
        <v>45450</v>
      </c>
      <c r="C620" t="s">
        <v>33</v>
      </c>
      <c r="D620" t="s">
        <v>34</v>
      </c>
      <c r="E620" t="s">
        <v>40</v>
      </c>
      <c r="F620" t="s">
        <v>845</v>
      </c>
      <c r="G620">
        <v>4507.67</v>
      </c>
      <c r="H620">
        <v>2999.82</v>
      </c>
      <c r="I620">
        <v>1507.85</v>
      </c>
      <c r="K620">
        <v>5</v>
      </c>
      <c r="L620" t="s">
        <v>22</v>
      </c>
      <c r="M620" t="s">
        <v>64</v>
      </c>
      <c r="N620">
        <v>2</v>
      </c>
      <c r="O620" t="s">
        <v>21</v>
      </c>
    </row>
    <row r="621" spans="1:15" x14ac:dyDescent="0.3">
      <c r="A621" t="s">
        <v>1147</v>
      </c>
      <c r="B621" s="3">
        <v>45553</v>
      </c>
      <c r="C621" t="s">
        <v>59</v>
      </c>
      <c r="D621" t="s">
        <v>308</v>
      </c>
      <c r="E621" t="s">
        <v>84</v>
      </c>
      <c r="F621" t="s">
        <v>44</v>
      </c>
      <c r="G621">
        <v>1451.21</v>
      </c>
      <c r="H621">
        <v>1101.04</v>
      </c>
      <c r="I621">
        <v>350.17</v>
      </c>
      <c r="K621">
        <v>4</v>
      </c>
      <c r="L621" t="s">
        <v>29</v>
      </c>
      <c r="M621" t="s">
        <v>115</v>
      </c>
      <c r="N621">
        <v>3</v>
      </c>
      <c r="O621" t="s">
        <v>21</v>
      </c>
    </row>
    <row r="622" spans="1:15" x14ac:dyDescent="0.3">
      <c r="A622" t="s">
        <v>1148</v>
      </c>
      <c r="B622" s="3">
        <v>45470</v>
      </c>
      <c r="C622" t="s">
        <v>59</v>
      </c>
      <c r="D622" t="s">
        <v>301</v>
      </c>
      <c r="E622" t="s">
        <v>19</v>
      </c>
      <c r="F622" t="s">
        <v>44</v>
      </c>
      <c r="G622">
        <v>3407.34</v>
      </c>
      <c r="H622">
        <v>2037.46</v>
      </c>
      <c r="I622">
        <v>1369.88</v>
      </c>
      <c r="K622">
        <v>4</v>
      </c>
      <c r="L622" t="s">
        <v>22</v>
      </c>
      <c r="M622" t="s">
        <v>64</v>
      </c>
      <c r="N622">
        <v>2</v>
      </c>
      <c r="O622" t="s">
        <v>21</v>
      </c>
    </row>
    <row r="623" spans="1:15" x14ac:dyDescent="0.3">
      <c r="A623" t="s">
        <v>1150</v>
      </c>
      <c r="B623" s="3">
        <v>45381</v>
      </c>
      <c r="C623" t="s">
        <v>59</v>
      </c>
      <c r="D623" t="s">
        <v>308</v>
      </c>
      <c r="E623" t="s">
        <v>19</v>
      </c>
      <c r="F623" t="s">
        <v>44</v>
      </c>
      <c r="G623">
        <v>1417.59</v>
      </c>
      <c r="H623">
        <v>1039.8</v>
      </c>
      <c r="I623">
        <v>377.79</v>
      </c>
      <c r="J623">
        <v>7</v>
      </c>
      <c r="K623">
        <v>4</v>
      </c>
      <c r="L623" t="s">
        <v>22</v>
      </c>
      <c r="M623" t="s">
        <v>76</v>
      </c>
      <c r="N623">
        <v>1</v>
      </c>
      <c r="O623" t="s">
        <v>56</v>
      </c>
    </row>
    <row r="624" spans="1:15" x14ac:dyDescent="0.3">
      <c r="A624" t="s">
        <v>1151</v>
      </c>
      <c r="B624" s="3">
        <v>45533</v>
      </c>
      <c r="C624" t="s">
        <v>7</v>
      </c>
      <c r="D624" t="s">
        <v>55</v>
      </c>
      <c r="E624" t="s">
        <v>35</v>
      </c>
      <c r="F624" t="s">
        <v>73</v>
      </c>
      <c r="G624">
        <v>1974.38</v>
      </c>
      <c r="H624">
        <v>1270.1500000000001</v>
      </c>
      <c r="I624">
        <v>704.23</v>
      </c>
      <c r="K624">
        <v>4</v>
      </c>
      <c r="L624" t="s">
        <v>22</v>
      </c>
      <c r="M624" t="s">
        <v>32</v>
      </c>
      <c r="N624">
        <v>3</v>
      </c>
      <c r="O624" t="s">
        <v>21</v>
      </c>
    </row>
    <row r="625" spans="1:15" x14ac:dyDescent="0.3">
      <c r="A625" t="s">
        <v>1153</v>
      </c>
      <c r="B625" s="3">
        <v>45453</v>
      </c>
      <c r="C625" t="s">
        <v>59</v>
      </c>
      <c r="D625" t="s">
        <v>60</v>
      </c>
      <c r="E625" t="s">
        <v>40</v>
      </c>
      <c r="F625" t="s">
        <v>20</v>
      </c>
      <c r="G625">
        <v>2618.5100000000002</v>
      </c>
      <c r="H625">
        <v>1761.78</v>
      </c>
      <c r="I625">
        <v>856.73</v>
      </c>
      <c r="K625">
        <v>5</v>
      </c>
      <c r="L625" t="s">
        <v>22</v>
      </c>
      <c r="M625" t="s">
        <v>64</v>
      </c>
      <c r="N625">
        <v>2</v>
      </c>
      <c r="O625" t="s">
        <v>21</v>
      </c>
    </row>
    <row r="626" spans="1:15" x14ac:dyDescent="0.3">
      <c r="A626" t="s">
        <v>1154</v>
      </c>
      <c r="B626" s="3">
        <v>45386</v>
      </c>
      <c r="C626" t="s">
        <v>42</v>
      </c>
      <c r="D626" t="s">
        <v>43</v>
      </c>
      <c r="E626" t="s">
        <v>87</v>
      </c>
      <c r="F626" t="s">
        <v>28</v>
      </c>
      <c r="G626">
        <v>430.09</v>
      </c>
      <c r="H626">
        <v>366.69</v>
      </c>
      <c r="I626">
        <v>63.4</v>
      </c>
      <c r="J626">
        <v>11</v>
      </c>
      <c r="K626">
        <v>2</v>
      </c>
      <c r="L626" t="s">
        <v>22</v>
      </c>
      <c r="M626" t="s">
        <v>16</v>
      </c>
      <c r="N626">
        <v>2</v>
      </c>
      <c r="O626" t="s">
        <v>56</v>
      </c>
    </row>
    <row r="627" spans="1:15" x14ac:dyDescent="0.3">
      <c r="A627" t="s">
        <v>1156</v>
      </c>
      <c r="B627" s="3">
        <v>45525</v>
      </c>
      <c r="C627" t="s">
        <v>59</v>
      </c>
      <c r="D627" t="s">
        <v>308</v>
      </c>
      <c r="E627" t="s">
        <v>35</v>
      </c>
      <c r="F627" t="s">
        <v>73</v>
      </c>
      <c r="G627">
        <v>2679.13</v>
      </c>
      <c r="H627">
        <v>2113.09</v>
      </c>
      <c r="I627">
        <v>566.04</v>
      </c>
      <c r="J627">
        <v>6</v>
      </c>
      <c r="K627">
        <v>5</v>
      </c>
      <c r="L627" t="s">
        <v>29</v>
      </c>
      <c r="M627" t="s">
        <v>32</v>
      </c>
      <c r="N627">
        <v>3</v>
      </c>
      <c r="O627" t="s">
        <v>56</v>
      </c>
    </row>
    <row r="628" spans="1:15" x14ac:dyDescent="0.3">
      <c r="A628" t="s">
        <v>1158</v>
      </c>
      <c r="B628" s="3">
        <v>45564</v>
      </c>
      <c r="C628" t="s">
        <v>17</v>
      </c>
      <c r="D628" t="s">
        <v>26</v>
      </c>
      <c r="E628" t="s">
        <v>84</v>
      </c>
      <c r="F628" t="s">
        <v>20</v>
      </c>
      <c r="G628">
        <v>2859.93</v>
      </c>
      <c r="H628">
        <v>2182.6799999999998</v>
      </c>
      <c r="I628">
        <v>677.25</v>
      </c>
      <c r="K628">
        <v>2</v>
      </c>
      <c r="L628" t="s">
        <v>22</v>
      </c>
      <c r="M628" t="s">
        <v>115</v>
      </c>
      <c r="N628">
        <v>3</v>
      </c>
      <c r="O628" t="s">
        <v>21</v>
      </c>
    </row>
    <row r="629" spans="1:15" x14ac:dyDescent="0.3">
      <c r="A629" t="s">
        <v>1159</v>
      </c>
      <c r="B629" s="3">
        <v>45504</v>
      </c>
      <c r="C629" t="s">
        <v>17</v>
      </c>
      <c r="D629" t="s">
        <v>51</v>
      </c>
      <c r="E629" t="s">
        <v>40</v>
      </c>
      <c r="F629" t="s">
        <v>28</v>
      </c>
      <c r="G629">
        <v>2528.98</v>
      </c>
      <c r="H629">
        <v>1671.56</v>
      </c>
      <c r="I629">
        <v>857.42</v>
      </c>
      <c r="J629">
        <v>5</v>
      </c>
      <c r="K629">
        <v>1</v>
      </c>
      <c r="L629" t="s">
        <v>22</v>
      </c>
      <c r="M629" t="s">
        <v>54</v>
      </c>
      <c r="N629">
        <v>3</v>
      </c>
      <c r="O629" t="s">
        <v>56</v>
      </c>
    </row>
    <row r="630" spans="1:15" x14ac:dyDescent="0.3">
      <c r="A630" t="s">
        <v>1161</v>
      </c>
      <c r="B630" s="3">
        <v>45417</v>
      </c>
      <c r="C630" t="s">
        <v>17</v>
      </c>
      <c r="D630" t="s">
        <v>100</v>
      </c>
      <c r="E630" t="s">
        <v>27</v>
      </c>
      <c r="F630" t="s">
        <v>44</v>
      </c>
      <c r="G630">
        <v>2685.88</v>
      </c>
      <c r="H630">
        <v>1707.17</v>
      </c>
      <c r="I630">
        <v>978.71</v>
      </c>
      <c r="K630">
        <v>4</v>
      </c>
      <c r="L630" t="s">
        <v>22</v>
      </c>
      <c r="M630" t="s">
        <v>104</v>
      </c>
      <c r="N630">
        <v>2</v>
      </c>
      <c r="O630" t="s">
        <v>21</v>
      </c>
    </row>
    <row r="631" spans="1:15" x14ac:dyDescent="0.3">
      <c r="A631" t="s">
        <v>1162</v>
      </c>
      <c r="B631" s="3">
        <v>45548</v>
      </c>
      <c r="C631" t="s">
        <v>42</v>
      </c>
      <c r="D631" t="s">
        <v>77</v>
      </c>
      <c r="E631" t="s">
        <v>27</v>
      </c>
      <c r="F631" t="s">
        <v>36</v>
      </c>
      <c r="G631">
        <v>2828.91</v>
      </c>
      <c r="H631">
        <v>2385.64</v>
      </c>
      <c r="I631">
        <v>443.27</v>
      </c>
      <c r="K631">
        <v>4</v>
      </c>
      <c r="L631" t="s">
        <v>22</v>
      </c>
      <c r="M631" t="s">
        <v>115</v>
      </c>
      <c r="N631">
        <v>3</v>
      </c>
      <c r="O631" t="s">
        <v>21</v>
      </c>
    </row>
    <row r="632" spans="1:15" x14ac:dyDescent="0.3">
      <c r="A632" t="s">
        <v>1163</v>
      </c>
      <c r="B632" s="3">
        <v>45644</v>
      </c>
      <c r="C632" t="s">
        <v>59</v>
      </c>
      <c r="D632" t="s">
        <v>194</v>
      </c>
      <c r="E632" t="s">
        <v>35</v>
      </c>
      <c r="F632" t="s">
        <v>20</v>
      </c>
      <c r="G632">
        <v>3057.85</v>
      </c>
      <c r="H632">
        <v>1880.34</v>
      </c>
      <c r="I632">
        <v>1177.51</v>
      </c>
      <c r="J632">
        <v>5</v>
      </c>
      <c r="K632">
        <v>2</v>
      </c>
      <c r="L632" t="s">
        <v>22</v>
      </c>
      <c r="M632" t="s">
        <v>179</v>
      </c>
      <c r="N632">
        <v>4</v>
      </c>
      <c r="O632" t="s">
        <v>56</v>
      </c>
    </row>
    <row r="633" spans="1:15" x14ac:dyDescent="0.3">
      <c r="A633" t="s">
        <v>1164</v>
      </c>
      <c r="B633" s="3">
        <v>45508</v>
      </c>
      <c r="C633" t="s">
        <v>42</v>
      </c>
      <c r="D633" t="s">
        <v>1698</v>
      </c>
      <c r="E633" t="s">
        <v>84</v>
      </c>
      <c r="F633" t="s">
        <v>44</v>
      </c>
      <c r="G633">
        <v>3147.99</v>
      </c>
      <c r="H633">
        <v>2367.21</v>
      </c>
      <c r="I633">
        <v>780.78</v>
      </c>
      <c r="K633">
        <v>5</v>
      </c>
      <c r="L633" t="s">
        <v>29</v>
      </c>
      <c r="M633" t="s">
        <v>32</v>
      </c>
      <c r="N633">
        <v>3</v>
      </c>
      <c r="O633" t="s">
        <v>21</v>
      </c>
    </row>
    <row r="634" spans="1:15" x14ac:dyDescent="0.3">
      <c r="A634" t="s">
        <v>1166</v>
      </c>
      <c r="B634" s="3">
        <v>45557</v>
      </c>
      <c r="C634" t="s">
        <v>42</v>
      </c>
      <c r="D634" t="s">
        <v>262</v>
      </c>
      <c r="E634" t="s">
        <v>87</v>
      </c>
      <c r="F634" t="s">
        <v>73</v>
      </c>
      <c r="G634">
        <v>1327.78</v>
      </c>
      <c r="H634">
        <v>1100.03</v>
      </c>
      <c r="I634">
        <v>227.75</v>
      </c>
      <c r="K634">
        <v>4</v>
      </c>
      <c r="L634" t="s">
        <v>22</v>
      </c>
      <c r="M634" t="s">
        <v>115</v>
      </c>
      <c r="N634">
        <v>3</v>
      </c>
      <c r="O634" t="s">
        <v>21</v>
      </c>
    </row>
    <row r="635" spans="1:15" x14ac:dyDescent="0.3">
      <c r="A635" t="s">
        <v>1168</v>
      </c>
      <c r="B635" s="3">
        <v>45622</v>
      </c>
      <c r="C635" t="s">
        <v>42</v>
      </c>
      <c r="D635" t="s">
        <v>83</v>
      </c>
      <c r="E635" t="s">
        <v>19</v>
      </c>
      <c r="F635" t="s">
        <v>20</v>
      </c>
      <c r="G635">
        <v>1882.52</v>
      </c>
      <c r="H635">
        <v>1537.65</v>
      </c>
      <c r="I635">
        <v>344.87</v>
      </c>
      <c r="K635">
        <v>4</v>
      </c>
      <c r="L635" t="s">
        <v>22</v>
      </c>
      <c r="M635" t="s">
        <v>111</v>
      </c>
      <c r="N635">
        <v>4</v>
      </c>
      <c r="O635" t="s">
        <v>21</v>
      </c>
    </row>
    <row r="636" spans="1:15" x14ac:dyDescent="0.3">
      <c r="A636" t="s">
        <v>1170</v>
      </c>
      <c r="B636" s="3">
        <v>45540</v>
      </c>
      <c r="C636" t="s">
        <v>42</v>
      </c>
      <c r="D636" t="s">
        <v>262</v>
      </c>
      <c r="E636" t="s">
        <v>84</v>
      </c>
      <c r="F636" t="s">
        <v>20</v>
      </c>
      <c r="G636">
        <v>2517.1999999999998</v>
      </c>
      <c r="H636">
        <v>2071.62</v>
      </c>
      <c r="I636">
        <v>445.58</v>
      </c>
      <c r="J636">
        <v>10</v>
      </c>
      <c r="K636">
        <v>3</v>
      </c>
      <c r="L636" t="s">
        <v>29</v>
      </c>
      <c r="M636" t="s">
        <v>115</v>
      </c>
      <c r="N636">
        <v>3</v>
      </c>
      <c r="O636" t="s">
        <v>56</v>
      </c>
    </row>
    <row r="637" spans="1:15" x14ac:dyDescent="0.3">
      <c r="A637" t="s">
        <v>1172</v>
      </c>
      <c r="B637" s="3">
        <v>45362</v>
      </c>
      <c r="C637" t="s">
        <v>17</v>
      </c>
      <c r="D637" t="s">
        <v>226</v>
      </c>
      <c r="E637" t="s">
        <v>27</v>
      </c>
      <c r="F637" t="s">
        <v>44</v>
      </c>
      <c r="G637">
        <v>2178.58</v>
      </c>
      <c r="H637">
        <v>1631.68</v>
      </c>
      <c r="I637">
        <v>546.9</v>
      </c>
      <c r="K637">
        <v>4</v>
      </c>
      <c r="L637" t="s">
        <v>22</v>
      </c>
      <c r="M637" t="s">
        <v>76</v>
      </c>
      <c r="N637">
        <v>1</v>
      </c>
      <c r="O637" t="s">
        <v>21</v>
      </c>
    </row>
    <row r="638" spans="1:15" x14ac:dyDescent="0.3">
      <c r="A638" t="s">
        <v>1173</v>
      </c>
      <c r="B638" s="3">
        <v>45347</v>
      </c>
      <c r="C638" t="s">
        <v>33</v>
      </c>
      <c r="D638" t="s">
        <v>205</v>
      </c>
      <c r="E638" t="s">
        <v>27</v>
      </c>
      <c r="F638" t="s">
        <v>20</v>
      </c>
      <c r="G638">
        <v>2726</v>
      </c>
      <c r="H638">
        <v>1947.46</v>
      </c>
      <c r="I638">
        <v>778.54</v>
      </c>
      <c r="J638">
        <v>7</v>
      </c>
      <c r="K638">
        <v>5</v>
      </c>
      <c r="L638" t="s">
        <v>22</v>
      </c>
      <c r="M638" t="s">
        <v>124</v>
      </c>
      <c r="N638">
        <v>1</v>
      </c>
      <c r="O638" t="s">
        <v>56</v>
      </c>
    </row>
    <row r="639" spans="1:15" x14ac:dyDescent="0.3">
      <c r="A639" t="s">
        <v>1174</v>
      </c>
      <c r="B639" s="3">
        <v>45545</v>
      </c>
      <c r="C639" t="s">
        <v>42</v>
      </c>
      <c r="D639" t="s">
        <v>80</v>
      </c>
      <c r="E639" t="s">
        <v>27</v>
      </c>
      <c r="F639" t="s">
        <v>28</v>
      </c>
      <c r="G639">
        <v>2413.63</v>
      </c>
      <c r="H639">
        <v>1906.1</v>
      </c>
      <c r="I639">
        <v>507.53</v>
      </c>
      <c r="J639">
        <v>7</v>
      </c>
      <c r="K639">
        <v>5</v>
      </c>
      <c r="L639" t="s">
        <v>22</v>
      </c>
      <c r="M639" t="s">
        <v>115</v>
      </c>
      <c r="N639">
        <v>3</v>
      </c>
      <c r="O639" t="s">
        <v>56</v>
      </c>
    </row>
    <row r="640" spans="1:15" x14ac:dyDescent="0.3">
      <c r="A640" t="s">
        <v>1175</v>
      </c>
      <c r="B640" s="3">
        <v>45454</v>
      </c>
      <c r="C640" t="s">
        <v>59</v>
      </c>
      <c r="D640" t="s">
        <v>301</v>
      </c>
      <c r="E640" t="s">
        <v>40</v>
      </c>
      <c r="F640" t="s">
        <v>44</v>
      </c>
      <c r="G640">
        <v>1019.86</v>
      </c>
      <c r="H640">
        <v>707.56</v>
      </c>
      <c r="I640">
        <v>312.3</v>
      </c>
      <c r="K640">
        <v>4</v>
      </c>
      <c r="L640" t="s">
        <v>22</v>
      </c>
      <c r="M640" t="s">
        <v>64</v>
      </c>
      <c r="N640">
        <v>2</v>
      </c>
      <c r="O640" t="s">
        <v>21</v>
      </c>
    </row>
    <row r="641" spans="1:15" x14ac:dyDescent="0.3">
      <c r="A641" t="s">
        <v>1176</v>
      </c>
      <c r="B641" s="3">
        <v>45398</v>
      </c>
      <c r="C641" t="s">
        <v>33</v>
      </c>
      <c r="D641" t="s">
        <v>205</v>
      </c>
      <c r="E641" t="s">
        <v>40</v>
      </c>
      <c r="F641" t="s">
        <v>36</v>
      </c>
      <c r="G641">
        <v>2060.7399999999998</v>
      </c>
      <c r="H641">
        <v>1377.47</v>
      </c>
      <c r="I641">
        <v>683.27</v>
      </c>
      <c r="K641">
        <v>5</v>
      </c>
      <c r="L641" t="s">
        <v>22</v>
      </c>
      <c r="M641" t="s">
        <v>16</v>
      </c>
      <c r="N641">
        <v>2</v>
      </c>
      <c r="O641" t="s">
        <v>21</v>
      </c>
    </row>
    <row r="642" spans="1:15" x14ac:dyDescent="0.3">
      <c r="A642" t="s">
        <v>1177</v>
      </c>
      <c r="B642" s="3">
        <v>45639</v>
      </c>
      <c r="C642" t="s">
        <v>59</v>
      </c>
      <c r="D642" t="s">
        <v>60</v>
      </c>
      <c r="E642" t="s">
        <v>27</v>
      </c>
      <c r="F642" t="s">
        <v>28</v>
      </c>
      <c r="G642">
        <v>3247.25</v>
      </c>
      <c r="H642">
        <v>2412.2199999999998</v>
      </c>
      <c r="I642">
        <v>835.03</v>
      </c>
      <c r="K642">
        <v>5</v>
      </c>
      <c r="L642" t="s">
        <v>22</v>
      </c>
      <c r="M642" t="s">
        <v>179</v>
      </c>
      <c r="N642">
        <v>4</v>
      </c>
      <c r="O642" t="s">
        <v>21</v>
      </c>
    </row>
    <row r="643" spans="1:15" x14ac:dyDescent="0.3">
      <c r="A643" t="s">
        <v>1178</v>
      </c>
      <c r="B643" s="3">
        <v>45339</v>
      </c>
      <c r="C643" t="s">
        <v>17</v>
      </c>
      <c r="D643" t="s">
        <v>72</v>
      </c>
      <c r="E643" t="s">
        <v>87</v>
      </c>
      <c r="F643" t="s">
        <v>36</v>
      </c>
      <c r="G643">
        <v>2121.87</v>
      </c>
      <c r="H643">
        <v>1287.51</v>
      </c>
      <c r="I643">
        <v>834.36</v>
      </c>
      <c r="K643">
        <v>5</v>
      </c>
      <c r="L643" t="s">
        <v>29</v>
      </c>
      <c r="M643" t="s">
        <v>124</v>
      </c>
      <c r="N643">
        <v>1</v>
      </c>
      <c r="O643" t="s">
        <v>56</v>
      </c>
    </row>
    <row r="644" spans="1:15" x14ac:dyDescent="0.3">
      <c r="A644" t="s">
        <v>1179</v>
      </c>
      <c r="B644" s="3">
        <v>45358</v>
      </c>
      <c r="C644" t="s">
        <v>17</v>
      </c>
      <c r="D644" t="s">
        <v>100</v>
      </c>
      <c r="E644" t="s">
        <v>27</v>
      </c>
      <c r="F644" t="s">
        <v>299</v>
      </c>
      <c r="G644">
        <v>1222.3900000000001</v>
      </c>
      <c r="H644">
        <v>848.58</v>
      </c>
      <c r="I644">
        <v>373.81</v>
      </c>
      <c r="K644">
        <v>4</v>
      </c>
      <c r="L644" t="s">
        <v>22</v>
      </c>
      <c r="M644" t="s">
        <v>76</v>
      </c>
      <c r="N644">
        <v>1</v>
      </c>
      <c r="O644" t="s">
        <v>21</v>
      </c>
    </row>
    <row r="645" spans="1:15" x14ac:dyDescent="0.3">
      <c r="A645" t="s">
        <v>1181</v>
      </c>
      <c r="B645" s="3">
        <v>45622</v>
      </c>
      <c r="C645" t="s">
        <v>59</v>
      </c>
      <c r="D645" t="s">
        <v>60</v>
      </c>
      <c r="E645" t="s">
        <v>84</v>
      </c>
      <c r="F645" t="s">
        <v>28</v>
      </c>
      <c r="G645">
        <v>2880.37</v>
      </c>
      <c r="H645">
        <v>1754.34</v>
      </c>
      <c r="I645">
        <v>1126.03</v>
      </c>
      <c r="K645">
        <v>3</v>
      </c>
      <c r="L645" t="s">
        <v>22</v>
      </c>
      <c r="M645" t="s">
        <v>111</v>
      </c>
      <c r="N645">
        <v>4</v>
      </c>
      <c r="O645" t="s">
        <v>21</v>
      </c>
    </row>
    <row r="646" spans="1:15" x14ac:dyDescent="0.3">
      <c r="A646" t="s">
        <v>1182</v>
      </c>
      <c r="B646" s="3">
        <v>45353</v>
      </c>
      <c r="C646" t="s">
        <v>7</v>
      </c>
      <c r="D646" t="s">
        <v>69</v>
      </c>
      <c r="E646" t="s">
        <v>27</v>
      </c>
      <c r="F646" t="s">
        <v>28</v>
      </c>
      <c r="G646">
        <v>1638.76</v>
      </c>
      <c r="H646">
        <v>1078.4100000000001</v>
      </c>
      <c r="I646">
        <v>560.35</v>
      </c>
      <c r="J646">
        <v>5</v>
      </c>
      <c r="K646">
        <v>3</v>
      </c>
      <c r="L646" t="s">
        <v>29</v>
      </c>
      <c r="M646" t="s">
        <v>76</v>
      </c>
      <c r="N646">
        <v>1</v>
      </c>
      <c r="O646" t="s">
        <v>56</v>
      </c>
    </row>
    <row r="647" spans="1:15" x14ac:dyDescent="0.3">
      <c r="A647" t="s">
        <v>1184</v>
      </c>
      <c r="B647" s="3">
        <v>45536</v>
      </c>
      <c r="C647" t="s">
        <v>7</v>
      </c>
      <c r="D647" t="s">
        <v>131</v>
      </c>
      <c r="E647" t="s">
        <v>27</v>
      </c>
      <c r="F647" t="s">
        <v>44</v>
      </c>
      <c r="G647">
        <v>2955.41</v>
      </c>
      <c r="H647">
        <v>2268.63</v>
      </c>
      <c r="I647">
        <v>686.78</v>
      </c>
      <c r="J647">
        <v>4</v>
      </c>
      <c r="K647">
        <v>1</v>
      </c>
      <c r="L647" t="s">
        <v>22</v>
      </c>
      <c r="M647" t="s">
        <v>115</v>
      </c>
      <c r="N647">
        <v>3</v>
      </c>
      <c r="O647" t="s">
        <v>56</v>
      </c>
    </row>
    <row r="648" spans="1:15" x14ac:dyDescent="0.3">
      <c r="A648" t="s">
        <v>1186</v>
      </c>
      <c r="B648" s="3">
        <v>45494</v>
      </c>
      <c r="C648" t="s">
        <v>42</v>
      </c>
      <c r="D648" t="s">
        <v>83</v>
      </c>
      <c r="E648" t="s">
        <v>27</v>
      </c>
      <c r="F648" t="s">
        <v>28</v>
      </c>
      <c r="G648">
        <v>969.05</v>
      </c>
      <c r="H648">
        <v>681.83</v>
      </c>
      <c r="I648">
        <v>287.22000000000003</v>
      </c>
      <c r="K648">
        <v>4</v>
      </c>
      <c r="L648" t="s">
        <v>22</v>
      </c>
      <c r="M648" t="s">
        <v>54</v>
      </c>
      <c r="N648">
        <v>3</v>
      </c>
      <c r="O648" t="s">
        <v>21</v>
      </c>
    </row>
    <row r="649" spans="1:15" x14ac:dyDescent="0.3">
      <c r="A649" t="s">
        <v>1187</v>
      </c>
      <c r="B649" s="3">
        <v>45472</v>
      </c>
      <c r="C649" t="s">
        <v>59</v>
      </c>
      <c r="D649" t="s">
        <v>308</v>
      </c>
      <c r="E649" t="s">
        <v>87</v>
      </c>
      <c r="F649" t="s">
        <v>44</v>
      </c>
      <c r="G649">
        <v>2908.1</v>
      </c>
      <c r="H649">
        <v>1608.83</v>
      </c>
      <c r="I649">
        <v>1299.27</v>
      </c>
      <c r="K649">
        <v>4</v>
      </c>
      <c r="L649" t="s">
        <v>22</v>
      </c>
      <c r="M649" t="s">
        <v>64</v>
      </c>
      <c r="N649">
        <v>2</v>
      </c>
      <c r="O649" t="s">
        <v>21</v>
      </c>
    </row>
    <row r="650" spans="1:15" x14ac:dyDescent="0.3">
      <c r="A650" t="s">
        <v>1188</v>
      </c>
      <c r="B650" s="3">
        <v>45586</v>
      </c>
      <c r="C650" t="s">
        <v>59</v>
      </c>
      <c r="D650" t="s">
        <v>116</v>
      </c>
      <c r="E650" t="s">
        <v>40</v>
      </c>
      <c r="F650" t="s">
        <v>36</v>
      </c>
      <c r="G650">
        <v>1147.45</v>
      </c>
      <c r="H650">
        <v>694.68</v>
      </c>
      <c r="I650">
        <v>452.77</v>
      </c>
      <c r="K650">
        <v>5</v>
      </c>
      <c r="L650" t="s">
        <v>29</v>
      </c>
      <c r="M650" t="s">
        <v>68</v>
      </c>
      <c r="N650">
        <v>4</v>
      </c>
      <c r="O650" t="s">
        <v>21</v>
      </c>
    </row>
    <row r="651" spans="1:15" x14ac:dyDescent="0.3">
      <c r="A651" t="s">
        <v>1190</v>
      </c>
      <c r="B651" s="3">
        <v>45577</v>
      </c>
      <c r="C651" t="s">
        <v>17</v>
      </c>
      <c r="D651" t="s">
        <v>72</v>
      </c>
      <c r="E651" t="s">
        <v>19</v>
      </c>
      <c r="F651" t="s">
        <v>28</v>
      </c>
      <c r="G651">
        <v>3138.41</v>
      </c>
      <c r="H651">
        <v>2207.02</v>
      </c>
      <c r="I651">
        <v>931.39</v>
      </c>
      <c r="K651">
        <v>5</v>
      </c>
      <c r="L651" t="s">
        <v>22</v>
      </c>
      <c r="M651" t="s">
        <v>68</v>
      </c>
      <c r="N651">
        <v>4</v>
      </c>
      <c r="O651" t="s">
        <v>21</v>
      </c>
    </row>
    <row r="652" spans="1:15" x14ac:dyDescent="0.3">
      <c r="A652" t="s">
        <v>1192</v>
      </c>
      <c r="B652" s="3">
        <v>45333</v>
      </c>
      <c r="C652" t="s">
        <v>42</v>
      </c>
      <c r="D652" t="s">
        <v>80</v>
      </c>
      <c r="E652" t="s">
        <v>87</v>
      </c>
      <c r="F652" t="s">
        <v>36</v>
      </c>
      <c r="G652">
        <v>1149.43</v>
      </c>
      <c r="H652">
        <v>984.7</v>
      </c>
      <c r="I652">
        <v>164.73</v>
      </c>
      <c r="K652">
        <v>4</v>
      </c>
      <c r="L652" t="s">
        <v>22</v>
      </c>
      <c r="M652" t="s">
        <v>124</v>
      </c>
      <c r="N652">
        <v>1</v>
      </c>
      <c r="O652" t="s">
        <v>21</v>
      </c>
    </row>
    <row r="653" spans="1:15" x14ac:dyDescent="0.3">
      <c r="A653" t="s">
        <v>1194</v>
      </c>
      <c r="B653" s="3">
        <v>45584</v>
      </c>
      <c r="C653" t="s">
        <v>59</v>
      </c>
      <c r="D653" t="s">
        <v>308</v>
      </c>
      <c r="E653" t="s">
        <v>27</v>
      </c>
      <c r="F653" t="s">
        <v>36</v>
      </c>
      <c r="G653">
        <v>2277.62</v>
      </c>
      <c r="H653">
        <v>1536.28</v>
      </c>
      <c r="I653">
        <v>741.34</v>
      </c>
      <c r="K653">
        <v>4</v>
      </c>
      <c r="L653" t="s">
        <v>22</v>
      </c>
      <c r="M653" t="s">
        <v>68</v>
      </c>
      <c r="N653">
        <v>4</v>
      </c>
      <c r="O653" t="s">
        <v>21</v>
      </c>
    </row>
    <row r="654" spans="1:15" x14ac:dyDescent="0.3">
      <c r="A654" t="s">
        <v>1195</v>
      </c>
      <c r="B654" s="3">
        <v>45529</v>
      </c>
      <c r="C654" t="s">
        <v>59</v>
      </c>
      <c r="D654" t="s">
        <v>490</v>
      </c>
      <c r="E654" t="s">
        <v>40</v>
      </c>
      <c r="F654" t="s">
        <v>20</v>
      </c>
      <c r="G654">
        <v>2484.73</v>
      </c>
      <c r="H654">
        <v>1386.32</v>
      </c>
      <c r="I654">
        <v>1098.4100000000001</v>
      </c>
      <c r="K654">
        <v>2</v>
      </c>
      <c r="L654" t="s">
        <v>22</v>
      </c>
      <c r="M654" t="s">
        <v>32</v>
      </c>
      <c r="N654">
        <v>3</v>
      </c>
      <c r="O654" t="s">
        <v>21</v>
      </c>
    </row>
    <row r="655" spans="1:15" x14ac:dyDescent="0.3">
      <c r="A655" t="s">
        <v>1196</v>
      </c>
      <c r="B655" s="3">
        <v>45496</v>
      </c>
      <c r="C655" t="s">
        <v>33</v>
      </c>
      <c r="D655" t="s">
        <v>297</v>
      </c>
      <c r="E655" t="s">
        <v>35</v>
      </c>
      <c r="F655" t="s">
        <v>176</v>
      </c>
      <c r="G655">
        <v>1050.3699999999999</v>
      </c>
      <c r="H655">
        <v>620.82000000000005</v>
      </c>
      <c r="I655">
        <v>429.55</v>
      </c>
      <c r="K655">
        <v>3</v>
      </c>
      <c r="L655" t="s">
        <v>22</v>
      </c>
      <c r="M655" t="s">
        <v>54</v>
      </c>
      <c r="N655">
        <v>3</v>
      </c>
      <c r="O655" t="s">
        <v>21</v>
      </c>
    </row>
    <row r="656" spans="1:15" x14ac:dyDescent="0.3">
      <c r="A656" t="s">
        <v>1197</v>
      </c>
      <c r="B656" s="3">
        <v>45378</v>
      </c>
      <c r="C656" t="s">
        <v>17</v>
      </c>
      <c r="D656" t="s">
        <v>18</v>
      </c>
      <c r="E656" t="s">
        <v>27</v>
      </c>
      <c r="F656" t="s">
        <v>73</v>
      </c>
      <c r="G656">
        <v>2884.9</v>
      </c>
      <c r="H656">
        <v>1587.83</v>
      </c>
      <c r="I656">
        <v>1297.07</v>
      </c>
      <c r="K656">
        <v>4</v>
      </c>
      <c r="L656" t="s">
        <v>22</v>
      </c>
      <c r="M656" t="s">
        <v>76</v>
      </c>
      <c r="N656">
        <v>1</v>
      </c>
      <c r="O656" t="s">
        <v>21</v>
      </c>
    </row>
    <row r="657" spans="1:15" x14ac:dyDescent="0.3">
      <c r="A657" t="s">
        <v>1198</v>
      </c>
      <c r="B657" s="3">
        <v>45539</v>
      </c>
      <c r="C657" t="s">
        <v>59</v>
      </c>
      <c r="D657" t="s">
        <v>301</v>
      </c>
      <c r="E657" t="s">
        <v>19</v>
      </c>
      <c r="F657" t="s">
        <v>20</v>
      </c>
      <c r="G657">
        <v>507.29</v>
      </c>
      <c r="H657">
        <v>327.38</v>
      </c>
      <c r="I657">
        <v>179.91</v>
      </c>
      <c r="K657">
        <v>4</v>
      </c>
      <c r="L657" t="s">
        <v>22</v>
      </c>
      <c r="M657" t="s">
        <v>115</v>
      </c>
      <c r="N657">
        <v>3</v>
      </c>
      <c r="O657" t="s">
        <v>21</v>
      </c>
    </row>
    <row r="658" spans="1:15" x14ac:dyDescent="0.3">
      <c r="A658" t="s">
        <v>1199</v>
      </c>
      <c r="B658" s="3">
        <v>45479</v>
      </c>
      <c r="C658" t="s">
        <v>33</v>
      </c>
      <c r="D658" t="s">
        <v>171</v>
      </c>
      <c r="E658" t="s">
        <v>19</v>
      </c>
      <c r="F658" t="s">
        <v>28</v>
      </c>
      <c r="G658">
        <v>3481.8</v>
      </c>
      <c r="H658">
        <v>2219.63</v>
      </c>
      <c r="I658">
        <v>1262.17</v>
      </c>
      <c r="K658">
        <v>5</v>
      </c>
      <c r="L658" t="s">
        <v>22</v>
      </c>
      <c r="M658" t="s">
        <v>54</v>
      </c>
      <c r="N658">
        <v>3</v>
      </c>
      <c r="O658" t="s">
        <v>21</v>
      </c>
    </row>
    <row r="659" spans="1:15" x14ac:dyDescent="0.3">
      <c r="A659" t="s">
        <v>1201</v>
      </c>
      <c r="B659" s="3">
        <v>45456</v>
      </c>
      <c r="C659" t="s">
        <v>17</v>
      </c>
      <c r="D659" t="s">
        <v>96</v>
      </c>
      <c r="E659" t="s">
        <v>87</v>
      </c>
      <c r="F659" t="s">
        <v>20</v>
      </c>
      <c r="G659">
        <v>2187.8000000000002</v>
      </c>
      <c r="H659">
        <v>1239.21</v>
      </c>
      <c r="I659">
        <v>948.59</v>
      </c>
      <c r="K659">
        <v>5</v>
      </c>
      <c r="L659" t="s">
        <v>22</v>
      </c>
      <c r="M659" t="s">
        <v>64</v>
      </c>
      <c r="N659">
        <v>2</v>
      </c>
      <c r="O659" t="s">
        <v>21</v>
      </c>
    </row>
    <row r="660" spans="1:15" x14ac:dyDescent="0.3">
      <c r="A660" t="s">
        <v>1203</v>
      </c>
      <c r="B660" s="3">
        <v>45490</v>
      </c>
      <c r="C660" t="s">
        <v>7</v>
      </c>
      <c r="D660" t="s">
        <v>69</v>
      </c>
      <c r="E660" t="s">
        <v>87</v>
      </c>
      <c r="F660" t="s">
        <v>44</v>
      </c>
      <c r="G660">
        <v>2354.04</v>
      </c>
      <c r="H660">
        <v>1604.17</v>
      </c>
      <c r="I660">
        <v>749.87</v>
      </c>
      <c r="J660">
        <v>2</v>
      </c>
      <c r="K660">
        <v>1</v>
      </c>
      <c r="L660" t="s">
        <v>22</v>
      </c>
      <c r="M660" t="s">
        <v>54</v>
      </c>
      <c r="N660">
        <v>3</v>
      </c>
      <c r="O660" t="s">
        <v>56</v>
      </c>
    </row>
    <row r="661" spans="1:15" x14ac:dyDescent="0.3">
      <c r="A661" t="s">
        <v>1205</v>
      </c>
      <c r="B661" s="3">
        <v>45408</v>
      </c>
      <c r="C661" t="s">
        <v>59</v>
      </c>
      <c r="D661" t="s">
        <v>301</v>
      </c>
      <c r="E661" t="s">
        <v>84</v>
      </c>
      <c r="F661" t="s">
        <v>44</v>
      </c>
      <c r="G661">
        <v>2845.77</v>
      </c>
      <c r="H661">
        <v>1879.53</v>
      </c>
      <c r="I661">
        <v>966.24</v>
      </c>
      <c r="K661">
        <v>1</v>
      </c>
      <c r="L661" t="s">
        <v>22</v>
      </c>
      <c r="M661" t="s">
        <v>16</v>
      </c>
      <c r="N661">
        <v>2</v>
      </c>
      <c r="O661" t="s">
        <v>21</v>
      </c>
    </row>
    <row r="662" spans="1:15" x14ac:dyDescent="0.3">
      <c r="A662" t="s">
        <v>1207</v>
      </c>
      <c r="B662" s="3">
        <v>45572</v>
      </c>
      <c r="C662" t="s">
        <v>7</v>
      </c>
      <c r="D662" t="s">
        <v>65</v>
      </c>
      <c r="E662" t="s">
        <v>87</v>
      </c>
      <c r="F662" t="s">
        <v>28</v>
      </c>
      <c r="G662">
        <v>1628.29</v>
      </c>
      <c r="H662">
        <v>950.81</v>
      </c>
      <c r="I662">
        <v>677.48</v>
      </c>
      <c r="K662">
        <v>4</v>
      </c>
      <c r="L662" t="s">
        <v>22</v>
      </c>
      <c r="M662" t="s">
        <v>68</v>
      </c>
      <c r="N662">
        <v>4</v>
      </c>
      <c r="O662" t="s">
        <v>21</v>
      </c>
    </row>
    <row r="663" spans="1:15" x14ac:dyDescent="0.3">
      <c r="A663" t="s">
        <v>1209</v>
      </c>
      <c r="B663" s="3">
        <v>45463</v>
      </c>
      <c r="C663" t="s">
        <v>7</v>
      </c>
      <c r="D663" t="s">
        <v>69</v>
      </c>
      <c r="E663" t="s">
        <v>19</v>
      </c>
      <c r="F663" t="s">
        <v>73</v>
      </c>
      <c r="G663">
        <v>1281.28</v>
      </c>
      <c r="H663">
        <v>729.29</v>
      </c>
      <c r="I663">
        <v>551.99</v>
      </c>
      <c r="K663">
        <v>5</v>
      </c>
      <c r="L663" t="s">
        <v>22</v>
      </c>
      <c r="M663" t="s">
        <v>64</v>
      </c>
      <c r="N663">
        <v>2</v>
      </c>
      <c r="O663" t="s">
        <v>21</v>
      </c>
    </row>
    <row r="664" spans="1:15" x14ac:dyDescent="0.3">
      <c r="A664" t="s">
        <v>1210</v>
      </c>
      <c r="B664" s="3">
        <v>45573</v>
      </c>
      <c r="C664" t="s">
        <v>33</v>
      </c>
      <c r="D664" t="s">
        <v>205</v>
      </c>
      <c r="E664" t="s">
        <v>87</v>
      </c>
      <c r="F664" t="s">
        <v>36</v>
      </c>
      <c r="G664">
        <v>3107.66</v>
      </c>
      <c r="H664">
        <v>1885.4</v>
      </c>
      <c r="I664">
        <v>1222.26</v>
      </c>
      <c r="K664">
        <v>5</v>
      </c>
      <c r="L664" t="s">
        <v>22</v>
      </c>
      <c r="M664" t="s">
        <v>68</v>
      </c>
      <c r="N664">
        <v>4</v>
      </c>
      <c r="O664" t="s">
        <v>21</v>
      </c>
    </row>
    <row r="665" spans="1:15" x14ac:dyDescent="0.3">
      <c r="A665" t="s">
        <v>1211</v>
      </c>
      <c r="B665" s="3">
        <v>45292</v>
      </c>
      <c r="C665" t="s">
        <v>42</v>
      </c>
      <c r="D665" t="s">
        <v>80</v>
      </c>
      <c r="E665" t="s">
        <v>40</v>
      </c>
      <c r="F665" t="s">
        <v>28</v>
      </c>
      <c r="G665">
        <v>171.82</v>
      </c>
      <c r="H665">
        <v>152.49</v>
      </c>
      <c r="I665">
        <v>19.329999999999998</v>
      </c>
      <c r="K665">
        <v>4</v>
      </c>
      <c r="L665" t="s">
        <v>22</v>
      </c>
      <c r="M665" t="s">
        <v>25</v>
      </c>
      <c r="N665">
        <v>1</v>
      </c>
      <c r="O665" t="s">
        <v>21</v>
      </c>
    </row>
    <row r="666" spans="1:15" x14ac:dyDescent="0.3">
      <c r="A666" t="s">
        <v>1213</v>
      </c>
      <c r="B666" s="3">
        <v>45463</v>
      </c>
      <c r="C666" t="s">
        <v>42</v>
      </c>
      <c r="D666" t="s">
        <v>77</v>
      </c>
      <c r="E666" t="s">
        <v>27</v>
      </c>
      <c r="F666" t="s">
        <v>36</v>
      </c>
      <c r="G666">
        <v>3318.66</v>
      </c>
      <c r="H666">
        <v>3013.25</v>
      </c>
      <c r="I666">
        <v>305.41000000000003</v>
      </c>
      <c r="K666">
        <v>4</v>
      </c>
      <c r="L666" t="s">
        <v>22</v>
      </c>
      <c r="M666" t="s">
        <v>64</v>
      </c>
      <c r="N666">
        <v>2</v>
      </c>
      <c r="O666" t="s">
        <v>21</v>
      </c>
    </row>
    <row r="667" spans="1:15" x14ac:dyDescent="0.3">
      <c r="A667" t="s">
        <v>1214</v>
      </c>
      <c r="B667" s="3">
        <v>45569</v>
      </c>
      <c r="C667" t="s">
        <v>17</v>
      </c>
      <c r="D667" t="s">
        <v>26</v>
      </c>
      <c r="E667" t="s">
        <v>87</v>
      </c>
      <c r="F667" t="s">
        <v>36</v>
      </c>
      <c r="G667">
        <v>2836.07</v>
      </c>
      <c r="H667">
        <v>2081.59</v>
      </c>
      <c r="I667">
        <v>754.48</v>
      </c>
      <c r="K667">
        <v>4</v>
      </c>
      <c r="L667" t="s">
        <v>22</v>
      </c>
      <c r="M667" t="s">
        <v>68</v>
      </c>
      <c r="N667">
        <v>4</v>
      </c>
      <c r="O667" t="s">
        <v>21</v>
      </c>
    </row>
    <row r="668" spans="1:15" x14ac:dyDescent="0.3">
      <c r="A668" t="s">
        <v>1215</v>
      </c>
      <c r="B668" s="3">
        <v>45554</v>
      </c>
      <c r="C668" t="s">
        <v>59</v>
      </c>
      <c r="D668" t="s">
        <v>301</v>
      </c>
      <c r="E668" t="s">
        <v>27</v>
      </c>
      <c r="F668" t="s">
        <v>44</v>
      </c>
      <c r="G668">
        <v>360.27</v>
      </c>
      <c r="H668">
        <v>257.23</v>
      </c>
      <c r="I668">
        <v>103.04</v>
      </c>
      <c r="K668">
        <v>4</v>
      </c>
      <c r="L668" t="s">
        <v>22</v>
      </c>
      <c r="M668" t="s">
        <v>115</v>
      </c>
      <c r="N668">
        <v>3</v>
      </c>
      <c r="O668" t="s">
        <v>21</v>
      </c>
    </row>
    <row r="669" spans="1:15" x14ac:dyDescent="0.3">
      <c r="A669" t="s">
        <v>1217</v>
      </c>
      <c r="B669" s="3">
        <v>45494</v>
      </c>
      <c r="C669" t="s">
        <v>59</v>
      </c>
      <c r="D669" t="s">
        <v>490</v>
      </c>
      <c r="E669" t="s">
        <v>87</v>
      </c>
      <c r="F669" t="s">
        <v>73</v>
      </c>
      <c r="G669">
        <v>1831.72</v>
      </c>
      <c r="H669">
        <v>1115.42</v>
      </c>
      <c r="I669">
        <v>716.3</v>
      </c>
      <c r="K669">
        <v>5</v>
      </c>
      <c r="L669" t="s">
        <v>22</v>
      </c>
      <c r="M669" t="s">
        <v>54</v>
      </c>
      <c r="N669">
        <v>3</v>
      </c>
      <c r="O669" t="s">
        <v>56</v>
      </c>
    </row>
    <row r="670" spans="1:15" x14ac:dyDescent="0.3">
      <c r="A670" t="s">
        <v>1218</v>
      </c>
      <c r="B670" s="3">
        <v>45452</v>
      </c>
      <c r="C670" t="s">
        <v>33</v>
      </c>
      <c r="D670" t="s">
        <v>297</v>
      </c>
      <c r="E670" t="s">
        <v>35</v>
      </c>
      <c r="F670" t="s">
        <v>36</v>
      </c>
      <c r="G670">
        <v>3774.3</v>
      </c>
      <c r="H670">
        <v>2120.41</v>
      </c>
      <c r="I670">
        <v>1653.89</v>
      </c>
      <c r="K670">
        <v>4</v>
      </c>
      <c r="L670" t="s">
        <v>22</v>
      </c>
      <c r="M670" t="s">
        <v>64</v>
      </c>
      <c r="N670">
        <v>2</v>
      </c>
      <c r="O670" t="s">
        <v>21</v>
      </c>
    </row>
    <row r="671" spans="1:15" x14ac:dyDescent="0.3">
      <c r="A671" t="s">
        <v>1219</v>
      </c>
      <c r="B671" s="3">
        <v>45501</v>
      </c>
      <c r="C671" t="s">
        <v>42</v>
      </c>
      <c r="D671" t="s">
        <v>47</v>
      </c>
      <c r="E671" t="s">
        <v>19</v>
      </c>
      <c r="F671" t="s">
        <v>36</v>
      </c>
      <c r="G671">
        <v>331.24</v>
      </c>
      <c r="H671">
        <v>278.20999999999998</v>
      </c>
      <c r="I671">
        <v>53.03</v>
      </c>
      <c r="K671">
        <v>5</v>
      </c>
      <c r="L671" t="s">
        <v>22</v>
      </c>
      <c r="M671" t="s">
        <v>54</v>
      </c>
      <c r="N671">
        <v>3</v>
      </c>
      <c r="O671" t="s">
        <v>21</v>
      </c>
    </row>
    <row r="672" spans="1:15" x14ac:dyDescent="0.3">
      <c r="A672" t="s">
        <v>1220</v>
      </c>
      <c r="B672" s="3">
        <v>45304</v>
      </c>
      <c r="C672" t="s">
        <v>7</v>
      </c>
      <c r="D672" t="s">
        <v>55</v>
      </c>
      <c r="E672" t="s">
        <v>40</v>
      </c>
      <c r="F672" t="s">
        <v>36</v>
      </c>
      <c r="G672">
        <v>1481.12</v>
      </c>
      <c r="H672">
        <v>900.56</v>
      </c>
      <c r="I672">
        <v>580.55999999999995</v>
      </c>
      <c r="K672">
        <v>4</v>
      </c>
      <c r="L672" t="s">
        <v>29</v>
      </c>
      <c r="M672" t="s">
        <v>25</v>
      </c>
      <c r="N672">
        <v>1</v>
      </c>
      <c r="O672" t="s">
        <v>21</v>
      </c>
    </row>
    <row r="673" spans="1:15" x14ac:dyDescent="0.3">
      <c r="A673" t="s">
        <v>1221</v>
      </c>
      <c r="B673" s="3">
        <v>45335</v>
      </c>
      <c r="C673" t="s">
        <v>17</v>
      </c>
      <c r="D673" t="s">
        <v>226</v>
      </c>
      <c r="E673" t="s">
        <v>87</v>
      </c>
      <c r="F673" t="s">
        <v>36</v>
      </c>
      <c r="G673">
        <v>462.32</v>
      </c>
      <c r="H673">
        <v>265.44</v>
      </c>
      <c r="I673">
        <v>196.88</v>
      </c>
      <c r="K673">
        <v>4</v>
      </c>
      <c r="L673" t="s">
        <v>22</v>
      </c>
      <c r="M673" t="s">
        <v>124</v>
      </c>
      <c r="N673">
        <v>1</v>
      </c>
      <c r="O673" t="s">
        <v>21</v>
      </c>
    </row>
    <row r="674" spans="1:15" x14ac:dyDescent="0.3">
      <c r="A674" t="s">
        <v>1223</v>
      </c>
      <c r="B674" s="3">
        <v>45343</v>
      </c>
      <c r="C674" t="s">
        <v>33</v>
      </c>
      <c r="D674" t="s">
        <v>205</v>
      </c>
      <c r="E674" t="s">
        <v>35</v>
      </c>
      <c r="F674" t="s">
        <v>73</v>
      </c>
      <c r="G674">
        <v>2939.31</v>
      </c>
      <c r="H674">
        <v>1834.31</v>
      </c>
      <c r="I674">
        <v>1105</v>
      </c>
      <c r="J674">
        <v>6</v>
      </c>
      <c r="K674">
        <v>1</v>
      </c>
      <c r="L674" t="s">
        <v>29</v>
      </c>
      <c r="M674" t="s">
        <v>124</v>
      </c>
      <c r="N674">
        <v>1</v>
      </c>
      <c r="O674" t="s">
        <v>21</v>
      </c>
    </row>
    <row r="675" spans="1:15" x14ac:dyDescent="0.3">
      <c r="A675" t="s">
        <v>1225</v>
      </c>
      <c r="B675" s="3">
        <v>45307</v>
      </c>
      <c r="C675" t="s">
        <v>59</v>
      </c>
      <c r="D675" t="s">
        <v>490</v>
      </c>
      <c r="E675" t="s">
        <v>27</v>
      </c>
      <c r="F675" t="s">
        <v>20</v>
      </c>
      <c r="G675">
        <v>1272.29</v>
      </c>
      <c r="H675">
        <v>836.32</v>
      </c>
      <c r="I675">
        <v>435.97</v>
      </c>
      <c r="K675">
        <v>5</v>
      </c>
      <c r="L675" t="s">
        <v>22</v>
      </c>
      <c r="M675" t="s">
        <v>25</v>
      </c>
      <c r="N675">
        <v>1</v>
      </c>
      <c r="O675" t="s">
        <v>21</v>
      </c>
    </row>
    <row r="676" spans="1:15" x14ac:dyDescent="0.3">
      <c r="A676" t="s">
        <v>1227</v>
      </c>
      <c r="B676" s="3">
        <v>45545</v>
      </c>
      <c r="C676" t="s">
        <v>59</v>
      </c>
      <c r="D676" t="s">
        <v>308</v>
      </c>
      <c r="E676" t="s">
        <v>19</v>
      </c>
      <c r="F676" t="s">
        <v>36</v>
      </c>
      <c r="G676">
        <v>3966.83</v>
      </c>
      <c r="H676">
        <v>2194.62</v>
      </c>
      <c r="I676">
        <v>1772.21</v>
      </c>
      <c r="K676">
        <v>4</v>
      </c>
      <c r="L676" t="s">
        <v>22</v>
      </c>
      <c r="M676" t="s">
        <v>115</v>
      </c>
      <c r="N676">
        <v>3</v>
      </c>
      <c r="O676" t="s">
        <v>21</v>
      </c>
    </row>
    <row r="677" spans="1:15" x14ac:dyDescent="0.3">
      <c r="A677" t="s">
        <v>1228</v>
      </c>
      <c r="B677" s="3">
        <v>45656</v>
      </c>
      <c r="C677" t="s">
        <v>42</v>
      </c>
      <c r="D677" t="s">
        <v>80</v>
      </c>
      <c r="E677" t="s">
        <v>87</v>
      </c>
      <c r="F677" t="s">
        <v>44</v>
      </c>
      <c r="G677">
        <v>2191.21</v>
      </c>
      <c r="H677">
        <v>1755.91</v>
      </c>
      <c r="I677">
        <v>435.3</v>
      </c>
      <c r="K677">
        <v>4</v>
      </c>
      <c r="L677" t="s">
        <v>22</v>
      </c>
      <c r="M677" t="s">
        <v>179</v>
      </c>
      <c r="N677">
        <v>4</v>
      </c>
      <c r="O677" t="s">
        <v>21</v>
      </c>
    </row>
    <row r="678" spans="1:15" x14ac:dyDescent="0.3">
      <c r="A678" t="s">
        <v>1229</v>
      </c>
      <c r="B678" s="3">
        <v>45485</v>
      </c>
      <c r="C678" t="s">
        <v>7</v>
      </c>
      <c r="D678" t="s">
        <v>131</v>
      </c>
      <c r="E678" t="s">
        <v>87</v>
      </c>
      <c r="F678" t="s">
        <v>73</v>
      </c>
      <c r="G678">
        <v>2001.55</v>
      </c>
      <c r="H678">
        <v>1128.93</v>
      </c>
      <c r="I678">
        <v>872.62</v>
      </c>
      <c r="K678">
        <v>5</v>
      </c>
      <c r="L678" t="s">
        <v>22</v>
      </c>
      <c r="M678" t="s">
        <v>54</v>
      </c>
      <c r="N678">
        <v>3</v>
      </c>
      <c r="O678" t="s">
        <v>21</v>
      </c>
    </row>
    <row r="679" spans="1:15" x14ac:dyDescent="0.3">
      <c r="A679" t="s">
        <v>1231</v>
      </c>
      <c r="B679" s="3">
        <v>45602</v>
      </c>
      <c r="C679" t="s">
        <v>7</v>
      </c>
      <c r="D679" t="s">
        <v>131</v>
      </c>
      <c r="E679" t="s">
        <v>27</v>
      </c>
      <c r="F679" t="s">
        <v>20</v>
      </c>
      <c r="G679">
        <v>266.61</v>
      </c>
      <c r="H679">
        <v>195.92</v>
      </c>
      <c r="I679">
        <v>70.69</v>
      </c>
      <c r="K679">
        <v>4</v>
      </c>
      <c r="L679" t="s">
        <v>22</v>
      </c>
      <c r="M679" t="s">
        <v>111</v>
      </c>
      <c r="N679">
        <v>4</v>
      </c>
      <c r="O679" t="s">
        <v>21</v>
      </c>
    </row>
    <row r="680" spans="1:15" x14ac:dyDescent="0.3">
      <c r="A680" t="s">
        <v>1233</v>
      </c>
      <c r="B680" s="3">
        <v>45652</v>
      </c>
      <c r="C680" t="s">
        <v>17</v>
      </c>
      <c r="D680" t="s">
        <v>226</v>
      </c>
      <c r="E680" t="s">
        <v>19</v>
      </c>
      <c r="F680" t="s">
        <v>28</v>
      </c>
      <c r="G680">
        <v>835.12</v>
      </c>
      <c r="H680">
        <v>650.38</v>
      </c>
      <c r="I680">
        <v>184.74</v>
      </c>
      <c r="K680">
        <v>4</v>
      </c>
      <c r="L680" t="s">
        <v>22</v>
      </c>
      <c r="M680" t="s">
        <v>179</v>
      </c>
      <c r="N680">
        <v>4</v>
      </c>
      <c r="O680" t="s">
        <v>21</v>
      </c>
    </row>
    <row r="681" spans="1:15" x14ac:dyDescent="0.3">
      <c r="A681" t="s">
        <v>1235</v>
      </c>
      <c r="B681" s="3">
        <v>45406</v>
      </c>
      <c r="C681" t="s">
        <v>17</v>
      </c>
      <c r="D681" t="s">
        <v>226</v>
      </c>
      <c r="E681" t="s">
        <v>19</v>
      </c>
      <c r="F681" t="s">
        <v>20</v>
      </c>
      <c r="G681">
        <v>490.82</v>
      </c>
      <c r="H681">
        <v>387.24</v>
      </c>
      <c r="I681">
        <v>103.58</v>
      </c>
      <c r="J681">
        <v>6</v>
      </c>
      <c r="K681">
        <v>5</v>
      </c>
      <c r="L681" t="s">
        <v>22</v>
      </c>
      <c r="M681" t="s">
        <v>16</v>
      </c>
      <c r="N681">
        <v>2</v>
      </c>
      <c r="O681" t="s">
        <v>56</v>
      </c>
    </row>
    <row r="682" spans="1:15" x14ac:dyDescent="0.3">
      <c r="A682" t="s">
        <v>1236</v>
      </c>
      <c r="B682" s="3">
        <v>45476</v>
      </c>
      <c r="C682" t="s">
        <v>42</v>
      </c>
      <c r="D682" t="s">
        <v>77</v>
      </c>
      <c r="E682" t="s">
        <v>40</v>
      </c>
      <c r="F682" t="s">
        <v>36</v>
      </c>
      <c r="G682">
        <v>903.82</v>
      </c>
      <c r="H682">
        <v>737.42</v>
      </c>
      <c r="I682">
        <v>166.4</v>
      </c>
      <c r="K682">
        <v>5</v>
      </c>
      <c r="L682" t="s">
        <v>22</v>
      </c>
      <c r="M682" t="s">
        <v>54</v>
      </c>
      <c r="N682">
        <v>3</v>
      </c>
      <c r="O682" t="s">
        <v>21</v>
      </c>
    </row>
    <row r="683" spans="1:15" x14ac:dyDescent="0.3">
      <c r="A683" t="s">
        <v>1237</v>
      </c>
      <c r="B683" s="3">
        <v>45399</v>
      </c>
      <c r="C683" t="s">
        <v>42</v>
      </c>
      <c r="D683" t="s">
        <v>162</v>
      </c>
      <c r="E683" t="s">
        <v>84</v>
      </c>
      <c r="F683" t="s">
        <v>44</v>
      </c>
      <c r="G683">
        <v>956.28</v>
      </c>
      <c r="H683">
        <v>700.68</v>
      </c>
      <c r="I683">
        <v>255.6</v>
      </c>
      <c r="J683">
        <v>5</v>
      </c>
      <c r="K683">
        <v>1</v>
      </c>
      <c r="L683" t="s">
        <v>22</v>
      </c>
      <c r="M683" t="s">
        <v>16</v>
      </c>
      <c r="N683">
        <v>2</v>
      </c>
      <c r="O683" t="s">
        <v>56</v>
      </c>
    </row>
    <row r="684" spans="1:15" x14ac:dyDescent="0.3">
      <c r="A684" t="s">
        <v>1238</v>
      </c>
      <c r="B684" s="3">
        <v>45426</v>
      </c>
      <c r="C684" t="s">
        <v>7</v>
      </c>
      <c r="D684" t="s">
        <v>1698</v>
      </c>
      <c r="E684" t="s">
        <v>19</v>
      </c>
      <c r="F684" t="s">
        <v>36</v>
      </c>
      <c r="G684">
        <v>2714.46</v>
      </c>
      <c r="H684">
        <v>1975.71</v>
      </c>
      <c r="I684">
        <v>738.75</v>
      </c>
      <c r="K684">
        <v>2</v>
      </c>
      <c r="L684" t="s">
        <v>22</v>
      </c>
      <c r="M684" t="s">
        <v>104</v>
      </c>
      <c r="N684">
        <v>2</v>
      </c>
      <c r="O684" t="s">
        <v>21</v>
      </c>
    </row>
    <row r="685" spans="1:15" x14ac:dyDescent="0.3">
      <c r="A685" t="s">
        <v>1240</v>
      </c>
      <c r="B685" s="3">
        <v>45324</v>
      </c>
      <c r="C685" t="s">
        <v>42</v>
      </c>
      <c r="D685" t="s">
        <v>214</v>
      </c>
      <c r="E685" t="s">
        <v>27</v>
      </c>
      <c r="F685" t="s">
        <v>28</v>
      </c>
      <c r="G685">
        <v>3185.57</v>
      </c>
      <c r="H685">
        <v>2322.79</v>
      </c>
      <c r="I685">
        <v>862.78</v>
      </c>
      <c r="J685">
        <v>13</v>
      </c>
      <c r="K685">
        <v>1</v>
      </c>
      <c r="L685" t="s">
        <v>22</v>
      </c>
      <c r="M685" t="s">
        <v>124</v>
      </c>
      <c r="N685">
        <v>1</v>
      </c>
      <c r="O685" t="s">
        <v>56</v>
      </c>
    </row>
    <row r="686" spans="1:15" x14ac:dyDescent="0.3">
      <c r="A686" t="s">
        <v>1241</v>
      </c>
      <c r="B686" s="3">
        <v>45343</v>
      </c>
      <c r="C686" t="s">
        <v>33</v>
      </c>
      <c r="D686" t="s">
        <v>105</v>
      </c>
      <c r="E686" t="s">
        <v>35</v>
      </c>
      <c r="F686" t="s">
        <v>44</v>
      </c>
      <c r="G686">
        <v>3248.51</v>
      </c>
      <c r="H686">
        <v>2243.65</v>
      </c>
      <c r="I686">
        <v>1004.86</v>
      </c>
      <c r="K686">
        <v>5</v>
      </c>
      <c r="L686" t="s">
        <v>22</v>
      </c>
      <c r="M686" t="s">
        <v>124</v>
      </c>
      <c r="N686">
        <v>1</v>
      </c>
      <c r="O686" t="s">
        <v>21</v>
      </c>
    </row>
    <row r="687" spans="1:15" x14ac:dyDescent="0.3">
      <c r="A687" t="s">
        <v>1243</v>
      </c>
      <c r="B687" s="3">
        <v>45562</v>
      </c>
      <c r="C687" t="s">
        <v>59</v>
      </c>
      <c r="D687" t="s">
        <v>116</v>
      </c>
      <c r="E687" t="s">
        <v>35</v>
      </c>
      <c r="F687" t="s">
        <v>36</v>
      </c>
      <c r="G687">
        <v>5255.01</v>
      </c>
      <c r="H687">
        <v>3340.36</v>
      </c>
      <c r="I687">
        <v>1914.65</v>
      </c>
      <c r="K687">
        <v>4</v>
      </c>
      <c r="L687" t="s">
        <v>22</v>
      </c>
      <c r="M687" t="s">
        <v>115</v>
      </c>
      <c r="N687">
        <v>3</v>
      </c>
      <c r="O687" t="s">
        <v>21</v>
      </c>
    </row>
    <row r="688" spans="1:15" x14ac:dyDescent="0.3">
      <c r="A688" t="s">
        <v>1244</v>
      </c>
      <c r="B688" s="3">
        <v>45535</v>
      </c>
      <c r="C688" t="s">
        <v>42</v>
      </c>
      <c r="D688" t="s">
        <v>214</v>
      </c>
      <c r="E688" t="s">
        <v>40</v>
      </c>
      <c r="F688" t="s">
        <v>44</v>
      </c>
      <c r="G688">
        <v>1749.45</v>
      </c>
      <c r="H688">
        <v>1301.3800000000001</v>
      </c>
      <c r="I688">
        <v>448.07</v>
      </c>
      <c r="J688">
        <v>8</v>
      </c>
      <c r="K688">
        <v>2</v>
      </c>
      <c r="L688" t="s">
        <v>22</v>
      </c>
      <c r="M688" t="s">
        <v>32</v>
      </c>
      <c r="N688">
        <v>3</v>
      </c>
      <c r="O688" t="s">
        <v>56</v>
      </c>
    </row>
    <row r="689" spans="1:15" x14ac:dyDescent="0.3">
      <c r="A689" t="s">
        <v>1246</v>
      </c>
      <c r="B689" s="3">
        <v>45537</v>
      </c>
      <c r="C689" t="s">
        <v>59</v>
      </c>
      <c r="D689" t="s">
        <v>490</v>
      </c>
      <c r="E689" t="s">
        <v>19</v>
      </c>
      <c r="F689" t="s">
        <v>44</v>
      </c>
      <c r="G689">
        <v>2352.9</v>
      </c>
      <c r="H689">
        <v>1680.32</v>
      </c>
      <c r="I689">
        <v>672.58</v>
      </c>
      <c r="K689">
        <v>4</v>
      </c>
      <c r="L689" t="s">
        <v>22</v>
      </c>
      <c r="M689" t="s">
        <v>115</v>
      </c>
      <c r="N689">
        <v>3</v>
      </c>
      <c r="O689" t="s">
        <v>21</v>
      </c>
    </row>
    <row r="690" spans="1:15" x14ac:dyDescent="0.3">
      <c r="A690" t="s">
        <v>1247</v>
      </c>
      <c r="B690" s="3">
        <v>45416</v>
      </c>
      <c r="C690" t="s">
        <v>42</v>
      </c>
      <c r="D690" t="s">
        <v>214</v>
      </c>
      <c r="E690" t="s">
        <v>35</v>
      </c>
      <c r="F690" t="s">
        <v>20</v>
      </c>
      <c r="G690">
        <v>2094.08</v>
      </c>
      <c r="H690">
        <v>1637.75</v>
      </c>
      <c r="I690">
        <v>456.33</v>
      </c>
      <c r="J690">
        <v>9</v>
      </c>
      <c r="K690">
        <v>2</v>
      </c>
      <c r="L690" t="s">
        <v>22</v>
      </c>
      <c r="M690" t="s">
        <v>104</v>
      </c>
      <c r="N690">
        <v>2</v>
      </c>
      <c r="O690" t="s">
        <v>56</v>
      </c>
    </row>
    <row r="691" spans="1:15" x14ac:dyDescent="0.3">
      <c r="A691" t="s">
        <v>1249</v>
      </c>
      <c r="B691" s="3">
        <v>45534</v>
      </c>
      <c r="C691" t="s">
        <v>42</v>
      </c>
      <c r="D691" t="s">
        <v>80</v>
      </c>
      <c r="E691" t="s">
        <v>84</v>
      </c>
      <c r="F691" t="s">
        <v>44</v>
      </c>
      <c r="G691">
        <v>361.47</v>
      </c>
      <c r="H691">
        <v>288.58</v>
      </c>
      <c r="I691">
        <v>72.89</v>
      </c>
      <c r="J691">
        <v>8</v>
      </c>
      <c r="K691">
        <v>3</v>
      </c>
      <c r="L691" t="s">
        <v>22</v>
      </c>
      <c r="M691" t="s">
        <v>32</v>
      </c>
      <c r="N691">
        <v>3</v>
      </c>
      <c r="O691" t="s">
        <v>56</v>
      </c>
    </row>
    <row r="692" spans="1:15" x14ac:dyDescent="0.3">
      <c r="A692" t="s">
        <v>1250</v>
      </c>
      <c r="B692" s="3">
        <v>45522</v>
      </c>
      <c r="C692" t="s">
        <v>42</v>
      </c>
      <c r="D692" t="s">
        <v>47</v>
      </c>
      <c r="E692" t="s">
        <v>84</v>
      </c>
      <c r="F692" t="s">
        <v>73</v>
      </c>
      <c r="G692">
        <v>2261.23</v>
      </c>
      <c r="H692">
        <v>1798.28</v>
      </c>
      <c r="I692">
        <v>462.95</v>
      </c>
      <c r="K692">
        <v>1</v>
      </c>
      <c r="L692" t="s">
        <v>22</v>
      </c>
      <c r="M692" t="s">
        <v>32</v>
      </c>
      <c r="N692">
        <v>3</v>
      </c>
      <c r="O692" t="s">
        <v>21</v>
      </c>
    </row>
    <row r="693" spans="1:15" x14ac:dyDescent="0.3">
      <c r="A693" t="s">
        <v>1252</v>
      </c>
      <c r="B693" s="3">
        <v>45338</v>
      </c>
      <c r="C693" t="s">
        <v>33</v>
      </c>
      <c r="D693" t="s">
        <v>297</v>
      </c>
      <c r="E693" t="s">
        <v>35</v>
      </c>
      <c r="F693" t="s">
        <v>36</v>
      </c>
      <c r="G693">
        <v>2802.47</v>
      </c>
      <c r="H693">
        <v>2216.17</v>
      </c>
      <c r="I693">
        <v>586.29999999999995</v>
      </c>
      <c r="K693">
        <v>5</v>
      </c>
      <c r="L693" t="s">
        <v>22</v>
      </c>
      <c r="M693" t="s">
        <v>124</v>
      </c>
      <c r="N693">
        <v>1</v>
      </c>
      <c r="O693" t="s">
        <v>21</v>
      </c>
    </row>
    <row r="694" spans="1:15" x14ac:dyDescent="0.3">
      <c r="A694" t="s">
        <v>1254</v>
      </c>
      <c r="B694" s="3">
        <v>45558</v>
      </c>
      <c r="C694" t="s">
        <v>17</v>
      </c>
      <c r="D694" t="s">
        <v>72</v>
      </c>
      <c r="E694" t="s">
        <v>40</v>
      </c>
      <c r="F694" t="s">
        <v>418</v>
      </c>
      <c r="G694">
        <v>1109.67</v>
      </c>
      <c r="H694">
        <v>877.62</v>
      </c>
      <c r="I694">
        <v>232.05</v>
      </c>
      <c r="K694">
        <v>5</v>
      </c>
      <c r="L694" t="s">
        <v>22</v>
      </c>
      <c r="M694" t="s">
        <v>115</v>
      </c>
      <c r="N694">
        <v>3</v>
      </c>
      <c r="O694" t="s">
        <v>21</v>
      </c>
    </row>
    <row r="695" spans="1:15" x14ac:dyDescent="0.3">
      <c r="A695" t="s">
        <v>1256</v>
      </c>
      <c r="B695" s="3">
        <v>45593</v>
      </c>
      <c r="C695" t="s">
        <v>33</v>
      </c>
      <c r="D695" t="s">
        <v>119</v>
      </c>
      <c r="E695" t="s">
        <v>35</v>
      </c>
      <c r="F695" t="s">
        <v>36</v>
      </c>
      <c r="G695">
        <v>737.73</v>
      </c>
      <c r="H695">
        <v>453.63</v>
      </c>
      <c r="I695">
        <v>284.10000000000002</v>
      </c>
      <c r="K695">
        <v>4</v>
      </c>
      <c r="L695" t="s">
        <v>22</v>
      </c>
      <c r="M695" t="s">
        <v>68</v>
      </c>
      <c r="N695">
        <v>4</v>
      </c>
      <c r="O695" t="s">
        <v>21</v>
      </c>
    </row>
    <row r="696" spans="1:15" x14ac:dyDescent="0.3">
      <c r="A696" t="s">
        <v>1258</v>
      </c>
      <c r="B696" s="3">
        <v>45608</v>
      </c>
      <c r="C696" t="s">
        <v>42</v>
      </c>
      <c r="D696" t="s">
        <v>162</v>
      </c>
      <c r="E696" t="s">
        <v>40</v>
      </c>
      <c r="F696" t="s">
        <v>36</v>
      </c>
      <c r="G696">
        <v>3675.6</v>
      </c>
      <c r="H696">
        <v>3309.45</v>
      </c>
      <c r="I696">
        <v>366.15</v>
      </c>
      <c r="K696">
        <v>5</v>
      </c>
      <c r="L696" t="s">
        <v>29</v>
      </c>
      <c r="M696" t="s">
        <v>111</v>
      </c>
      <c r="N696">
        <v>4</v>
      </c>
      <c r="O696" t="s">
        <v>21</v>
      </c>
    </row>
    <row r="697" spans="1:15" x14ac:dyDescent="0.3">
      <c r="A697" t="s">
        <v>1259</v>
      </c>
      <c r="B697" s="3">
        <v>45502</v>
      </c>
      <c r="C697" t="s">
        <v>17</v>
      </c>
      <c r="D697" t="s">
        <v>226</v>
      </c>
      <c r="E697" t="s">
        <v>19</v>
      </c>
      <c r="F697" t="s">
        <v>28</v>
      </c>
      <c r="G697">
        <v>2399.17</v>
      </c>
      <c r="H697">
        <v>1677.21</v>
      </c>
      <c r="I697">
        <v>721.96</v>
      </c>
      <c r="J697">
        <v>8</v>
      </c>
      <c r="K697">
        <v>3</v>
      </c>
      <c r="L697" t="s">
        <v>22</v>
      </c>
      <c r="M697" t="s">
        <v>54</v>
      </c>
      <c r="N697">
        <v>3</v>
      </c>
      <c r="O697" t="s">
        <v>56</v>
      </c>
    </row>
    <row r="698" spans="1:15" x14ac:dyDescent="0.3">
      <c r="A698" t="s">
        <v>1261</v>
      </c>
      <c r="B698" s="3">
        <v>45609</v>
      </c>
      <c r="C698" t="s">
        <v>7</v>
      </c>
      <c r="D698" t="s">
        <v>182</v>
      </c>
      <c r="E698" t="s">
        <v>87</v>
      </c>
      <c r="F698" t="s">
        <v>36</v>
      </c>
      <c r="G698">
        <v>2270.61</v>
      </c>
      <c r="H698">
        <v>1629.88</v>
      </c>
      <c r="I698">
        <v>640.73</v>
      </c>
      <c r="K698">
        <v>4</v>
      </c>
      <c r="L698" t="s">
        <v>22</v>
      </c>
      <c r="M698" t="s">
        <v>111</v>
      </c>
      <c r="N698">
        <v>4</v>
      </c>
      <c r="O698" t="s">
        <v>21</v>
      </c>
    </row>
    <row r="699" spans="1:15" x14ac:dyDescent="0.3">
      <c r="A699" t="s">
        <v>1263</v>
      </c>
      <c r="B699" s="3">
        <v>45336</v>
      </c>
      <c r="C699" t="s">
        <v>59</v>
      </c>
      <c r="D699" t="s">
        <v>155</v>
      </c>
      <c r="E699" t="s">
        <v>27</v>
      </c>
      <c r="F699" t="s">
        <v>73</v>
      </c>
      <c r="G699">
        <v>1093.08</v>
      </c>
      <c r="H699">
        <v>854.43</v>
      </c>
      <c r="I699">
        <v>238.65</v>
      </c>
      <c r="K699">
        <v>4</v>
      </c>
      <c r="L699" t="s">
        <v>22</v>
      </c>
      <c r="M699" t="s">
        <v>124</v>
      </c>
      <c r="N699">
        <v>1</v>
      </c>
      <c r="O699" t="s">
        <v>21</v>
      </c>
    </row>
    <row r="700" spans="1:15" x14ac:dyDescent="0.3">
      <c r="A700" t="s">
        <v>1264</v>
      </c>
      <c r="B700" s="3">
        <v>45650</v>
      </c>
      <c r="C700" t="s">
        <v>42</v>
      </c>
      <c r="D700" t="s">
        <v>77</v>
      </c>
      <c r="E700" t="s">
        <v>19</v>
      </c>
      <c r="F700" t="s">
        <v>73</v>
      </c>
      <c r="G700">
        <v>3119.56</v>
      </c>
      <c r="H700">
        <v>2535.2800000000002</v>
      </c>
      <c r="I700">
        <v>584.28</v>
      </c>
      <c r="K700">
        <v>5</v>
      </c>
      <c r="L700" t="s">
        <v>29</v>
      </c>
      <c r="M700" t="s">
        <v>179</v>
      </c>
      <c r="N700">
        <v>4</v>
      </c>
      <c r="O700" t="s">
        <v>21</v>
      </c>
    </row>
    <row r="701" spans="1:15" x14ac:dyDescent="0.3">
      <c r="A701" t="s">
        <v>1265</v>
      </c>
      <c r="B701" s="3">
        <v>45539</v>
      </c>
      <c r="C701" t="s">
        <v>7</v>
      </c>
      <c r="D701" t="s">
        <v>182</v>
      </c>
      <c r="E701" t="s">
        <v>35</v>
      </c>
      <c r="F701" t="s">
        <v>36</v>
      </c>
      <c r="G701">
        <v>5235.62</v>
      </c>
      <c r="H701">
        <v>3270.12</v>
      </c>
      <c r="I701">
        <v>1965.5</v>
      </c>
      <c r="J701">
        <v>7</v>
      </c>
      <c r="K701">
        <v>4</v>
      </c>
      <c r="L701" t="s">
        <v>29</v>
      </c>
      <c r="M701" t="s">
        <v>115</v>
      </c>
      <c r="N701">
        <v>3</v>
      </c>
      <c r="O701" t="s">
        <v>56</v>
      </c>
    </row>
    <row r="702" spans="1:15" x14ac:dyDescent="0.3">
      <c r="A702" t="s">
        <v>1266</v>
      </c>
      <c r="B702" s="3">
        <v>45331</v>
      </c>
      <c r="C702" t="s">
        <v>17</v>
      </c>
      <c r="D702" t="s">
        <v>51</v>
      </c>
      <c r="E702" t="s">
        <v>19</v>
      </c>
      <c r="F702" t="s">
        <v>73</v>
      </c>
      <c r="G702">
        <v>516.37</v>
      </c>
      <c r="H702">
        <v>319.63</v>
      </c>
      <c r="I702">
        <v>196.74</v>
      </c>
      <c r="K702">
        <v>4</v>
      </c>
      <c r="L702" t="s">
        <v>22</v>
      </c>
      <c r="M702" t="s">
        <v>124</v>
      </c>
      <c r="N702">
        <v>1</v>
      </c>
      <c r="O702" t="s">
        <v>21</v>
      </c>
    </row>
    <row r="703" spans="1:15" x14ac:dyDescent="0.3">
      <c r="A703" t="s">
        <v>1268</v>
      </c>
      <c r="B703" s="3">
        <v>45446</v>
      </c>
      <c r="C703" t="s">
        <v>17</v>
      </c>
      <c r="D703" t="s">
        <v>72</v>
      </c>
      <c r="E703" t="s">
        <v>87</v>
      </c>
      <c r="F703" t="s">
        <v>36</v>
      </c>
      <c r="G703">
        <v>340.13</v>
      </c>
      <c r="H703">
        <v>245.58</v>
      </c>
      <c r="I703">
        <v>94.55</v>
      </c>
      <c r="K703">
        <v>5</v>
      </c>
      <c r="L703" t="s">
        <v>22</v>
      </c>
      <c r="M703" t="s">
        <v>64</v>
      </c>
      <c r="N703">
        <v>2</v>
      </c>
      <c r="O703" t="s">
        <v>21</v>
      </c>
    </row>
    <row r="704" spans="1:15" x14ac:dyDescent="0.3">
      <c r="A704" t="s">
        <v>1270</v>
      </c>
      <c r="B704" s="3">
        <v>45576</v>
      </c>
      <c r="C704" t="s">
        <v>33</v>
      </c>
      <c r="D704" t="s">
        <v>93</v>
      </c>
      <c r="E704" t="s">
        <v>27</v>
      </c>
      <c r="F704" t="s">
        <v>36</v>
      </c>
      <c r="G704">
        <v>3018.39</v>
      </c>
      <c r="H704">
        <v>2088.91</v>
      </c>
      <c r="I704">
        <v>929.48</v>
      </c>
      <c r="J704">
        <v>4</v>
      </c>
      <c r="K704">
        <v>4</v>
      </c>
      <c r="L704" t="s">
        <v>29</v>
      </c>
      <c r="M704" t="s">
        <v>68</v>
      </c>
      <c r="N704">
        <v>4</v>
      </c>
      <c r="O704" t="s">
        <v>56</v>
      </c>
    </row>
    <row r="705" spans="1:15" x14ac:dyDescent="0.3">
      <c r="A705" t="s">
        <v>1272</v>
      </c>
      <c r="B705" s="3">
        <v>45308</v>
      </c>
      <c r="C705" t="s">
        <v>33</v>
      </c>
      <c r="D705" t="s">
        <v>205</v>
      </c>
      <c r="E705" t="s">
        <v>87</v>
      </c>
      <c r="F705" t="s">
        <v>44</v>
      </c>
      <c r="G705">
        <v>3239.18</v>
      </c>
      <c r="H705">
        <v>1906.01</v>
      </c>
      <c r="I705">
        <v>1333.17</v>
      </c>
      <c r="K705">
        <v>5</v>
      </c>
      <c r="L705" t="s">
        <v>22</v>
      </c>
      <c r="M705" t="s">
        <v>25</v>
      </c>
      <c r="N705">
        <v>1</v>
      </c>
      <c r="O705" t="s">
        <v>21</v>
      </c>
    </row>
    <row r="706" spans="1:15" x14ac:dyDescent="0.3">
      <c r="A706" t="s">
        <v>1273</v>
      </c>
      <c r="B706" s="3">
        <v>45503</v>
      </c>
      <c r="C706" t="s">
        <v>17</v>
      </c>
      <c r="D706" t="s">
        <v>51</v>
      </c>
      <c r="E706" t="s">
        <v>40</v>
      </c>
      <c r="F706" t="s">
        <v>44</v>
      </c>
      <c r="G706">
        <v>2165.84</v>
      </c>
      <c r="H706">
        <v>1535.91</v>
      </c>
      <c r="I706">
        <v>629.92999999999995</v>
      </c>
      <c r="K706">
        <v>4</v>
      </c>
      <c r="L706" t="s">
        <v>22</v>
      </c>
      <c r="M706" t="s">
        <v>54</v>
      </c>
      <c r="N706">
        <v>3</v>
      </c>
      <c r="O706" t="s">
        <v>21</v>
      </c>
    </row>
    <row r="707" spans="1:15" x14ac:dyDescent="0.3">
      <c r="A707" t="s">
        <v>1275</v>
      </c>
      <c r="B707" s="3">
        <v>45463</v>
      </c>
      <c r="C707" t="s">
        <v>7</v>
      </c>
      <c r="D707" t="s">
        <v>182</v>
      </c>
      <c r="E707" t="s">
        <v>1716</v>
      </c>
      <c r="F707" t="s">
        <v>44</v>
      </c>
      <c r="G707">
        <v>2758.42</v>
      </c>
      <c r="H707">
        <v>1594.38</v>
      </c>
      <c r="I707">
        <v>1164.04</v>
      </c>
      <c r="K707">
        <v>1</v>
      </c>
      <c r="L707" t="s">
        <v>22</v>
      </c>
      <c r="M707" t="s">
        <v>64</v>
      </c>
      <c r="N707">
        <v>2</v>
      </c>
      <c r="O707" t="s">
        <v>21</v>
      </c>
    </row>
    <row r="708" spans="1:15" x14ac:dyDescent="0.3">
      <c r="A708" t="s">
        <v>1276</v>
      </c>
      <c r="B708" s="3">
        <v>45629</v>
      </c>
      <c r="C708" t="s">
        <v>59</v>
      </c>
      <c r="D708" t="s">
        <v>155</v>
      </c>
      <c r="E708" t="s">
        <v>35</v>
      </c>
      <c r="F708" t="s">
        <v>20</v>
      </c>
      <c r="G708">
        <v>3120.28</v>
      </c>
      <c r="H708">
        <v>2173.34</v>
      </c>
      <c r="I708">
        <v>946.94</v>
      </c>
      <c r="K708">
        <v>5</v>
      </c>
      <c r="L708" t="s">
        <v>29</v>
      </c>
      <c r="M708" t="s">
        <v>179</v>
      </c>
      <c r="N708">
        <v>4</v>
      </c>
      <c r="O708" t="s">
        <v>21</v>
      </c>
    </row>
    <row r="709" spans="1:15" x14ac:dyDescent="0.3">
      <c r="A709" t="s">
        <v>1277</v>
      </c>
      <c r="B709" s="3">
        <v>45383</v>
      </c>
      <c r="C709" t="s">
        <v>42</v>
      </c>
      <c r="D709" t="s">
        <v>214</v>
      </c>
      <c r="E709" t="s">
        <v>27</v>
      </c>
      <c r="F709" t="s">
        <v>28</v>
      </c>
      <c r="G709">
        <v>3020.21</v>
      </c>
      <c r="H709">
        <v>2597.46</v>
      </c>
      <c r="I709">
        <v>422.75</v>
      </c>
      <c r="K709">
        <v>5</v>
      </c>
      <c r="L709" t="s">
        <v>22</v>
      </c>
      <c r="M709" t="s">
        <v>16</v>
      </c>
      <c r="N709">
        <v>2</v>
      </c>
      <c r="O709" t="s">
        <v>21</v>
      </c>
    </row>
    <row r="710" spans="1:15" x14ac:dyDescent="0.3">
      <c r="A710" t="s">
        <v>1279</v>
      </c>
      <c r="B710" s="3">
        <v>45477</v>
      </c>
      <c r="C710" t="s">
        <v>7</v>
      </c>
      <c r="D710" t="s">
        <v>65</v>
      </c>
      <c r="E710" t="s">
        <v>40</v>
      </c>
      <c r="F710" t="s">
        <v>73</v>
      </c>
      <c r="G710">
        <v>1869.35</v>
      </c>
      <c r="H710">
        <v>1079.1099999999999</v>
      </c>
      <c r="I710">
        <v>790.24</v>
      </c>
      <c r="K710">
        <v>4</v>
      </c>
      <c r="L710" t="s">
        <v>22</v>
      </c>
      <c r="M710" t="s">
        <v>54</v>
      </c>
      <c r="N710">
        <v>3</v>
      </c>
      <c r="O710" t="s">
        <v>21</v>
      </c>
    </row>
    <row r="711" spans="1:15" x14ac:dyDescent="0.3">
      <c r="A711" t="s">
        <v>1281</v>
      </c>
      <c r="B711" s="3">
        <v>45487</v>
      </c>
      <c r="C711" t="s">
        <v>7</v>
      </c>
      <c r="D711" t="s">
        <v>134</v>
      </c>
      <c r="E711" t="s">
        <v>27</v>
      </c>
      <c r="F711" t="s">
        <v>73</v>
      </c>
      <c r="G711">
        <v>2340.63</v>
      </c>
      <c r="H711">
        <v>1746.74</v>
      </c>
      <c r="I711">
        <v>593.89</v>
      </c>
      <c r="K711">
        <v>3</v>
      </c>
      <c r="L711" t="s">
        <v>29</v>
      </c>
      <c r="M711" t="s">
        <v>54</v>
      </c>
      <c r="N711">
        <v>3</v>
      </c>
      <c r="O711" t="s">
        <v>21</v>
      </c>
    </row>
    <row r="712" spans="1:15" x14ac:dyDescent="0.3">
      <c r="A712" t="s">
        <v>1283</v>
      </c>
      <c r="B712" s="3">
        <v>45594</v>
      </c>
      <c r="C712" t="s">
        <v>17</v>
      </c>
      <c r="D712" t="s">
        <v>226</v>
      </c>
      <c r="E712" t="s">
        <v>87</v>
      </c>
      <c r="F712" t="s">
        <v>73</v>
      </c>
      <c r="G712">
        <v>2701.37</v>
      </c>
      <c r="H712">
        <v>1832.83</v>
      </c>
      <c r="I712">
        <v>868.54</v>
      </c>
      <c r="K712">
        <v>4</v>
      </c>
      <c r="L712" t="s">
        <v>29</v>
      </c>
      <c r="M712" t="s">
        <v>68</v>
      </c>
      <c r="N712">
        <v>4</v>
      </c>
      <c r="O712" t="s">
        <v>21</v>
      </c>
    </row>
    <row r="713" spans="1:15" x14ac:dyDescent="0.3">
      <c r="A713" t="s">
        <v>1285</v>
      </c>
      <c r="B713" s="3">
        <v>45637</v>
      </c>
      <c r="C713" t="s">
        <v>17</v>
      </c>
      <c r="D713" t="s">
        <v>226</v>
      </c>
      <c r="E713" t="s">
        <v>87</v>
      </c>
      <c r="F713" t="s">
        <v>20</v>
      </c>
      <c r="G713">
        <v>445.58</v>
      </c>
      <c r="H713">
        <v>310.58</v>
      </c>
      <c r="I713">
        <v>135</v>
      </c>
      <c r="K713">
        <v>5</v>
      </c>
      <c r="L713" t="s">
        <v>22</v>
      </c>
      <c r="M713" t="s">
        <v>179</v>
      </c>
      <c r="N713">
        <v>4</v>
      </c>
      <c r="O713" t="s">
        <v>21</v>
      </c>
    </row>
    <row r="714" spans="1:15" x14ac:dyDescent="0.3">
      <c r="A714" t="s">
        <v>1287</v>
      </c>
      <c r="B714" s="3">
        <v>45298</v>
      </c>
      <c r="C714" t="s">
        <v>7</v>
      </c>
      <c r="D714" t="s">
        <v>131</v>
      </c>
      <c r="E714" t="s">
        <v>35</v>
      </c>
      <c r="F714" t="s">
        <v>28</v>
      </c>
      <c r="G714">
        <v>1686.45</v>
      </c>
      <c r="H714">
        <v>1288.2</v>
      </c>
      <c r="I714">
        <v>398.25</v>
      </c>
      <c r="K714">
        <v>3</v>
      </c>
      <c r="L714" t="s">
        <v>22</v>
      </c>
      <c r="M714" t="s">
        <v>25</v>
      </c>
      <c r="N714">
        <v>1</v>
      </c>
      <c r="O714" t="s">
        <v>21</v>
      </c>
    </row>
    <row r="715" spans="1:15" x14ac:dyDescent="0.3">
      <c r="A715" t="s">
        <v>1288</v>
      </c>
      <c r="B715" s="3">
        <v>45385</v>
      </c>
      <c r="C715" t="s">
        <v>59</v>
      </c>
      <c r="D715" t="s">
        <v>490</v>
      </c>
      <c r="E715" t="s">
        <v>27</v>
      </c>
      <c r="F715" t="s">
        <v>28</v>
      </c>
      <c r="G715">
        <v>3322.19</v>
      </c>
      <c r="H715">
        <v>2574.36</v>
      </c>
      <c r="I715">
        <v>747.83</v>
      </c>
      <c r="K715">
        <v>5</v>
      </c>
      <c r="L715" t="s">
        <v>22</v>
      </c>
      <c r="M715" t="s">
        <v>16</v>
      </c>
      <c r="N715">
        <v>2</v>
      </c>
      <c r="O715" t="s">
        <v>21</v>
      </c>
    </row>
    <row r="716" spans="1:15" x14ac:dyDescent="0.3">
      <c r="A716" t="s">
        <v>1289</v>
      </c>
      <c r="B716" s="3">
        <v>45422</v>
      </c>
      <c r="C716" t="s">
        <v>17</v>
      </c>
      <c r="D716" t="s">
        <v>26</v>
      </c>
      <c r="E716" t="s">
        <v>84</v>
      </c>
      <c r="F716" t="s">
        <v>73</v>
      </c>
      <c r="G716">
        <v>2497.12</v>
      </c>
      <c r="H716">
        <v>1911.03</v>
      </c>
      <c r="I716">
        <v>586.09</v>
      </c>
      <c r="K716">
        <v>4</v>
      </c>
      <c r="L716" t="s">
        <v>22</v>
      </c>
      <c r="M716" t="s">
        <v>104</v>
      </c>
      <c r="N716">
        <v>2</v>
      </c>
      <c r="O716" t="s">
        <v>21</v>
      </c>
    </row>
    <row r="717" spans="1:15" x14ac:dyDescent="0.3">
      <c r="A717" t="s">
        <v>1291</v>
      </c>
      <c r="B717" s="3">
        <v>45398</v>
      </c>
      <c r="C717" t="s">
        <v>17</v>
      </c>
      <c r="D717" t="s">
        <v>26</v>
      </c>
      <c r="E717" t="s">
        <v>87</v>
      </c>
      <c r="F717" t="s">
        <v>73</v>
      </c>
      <c r="G717">
        <v>1424.4</v>
      </c>
      <c r="H717">
        <v>942.53</v>
      </c>
      <c r="I717">
        <v>481.87</v>
      </c>
      <c r="K717">
        <v>4</v>
      </c>
      <c r="L717" t="s">
        <v>29</v>
      </c>
      <c r="M717" t="s">
        <v>16</v>
      </c>
      <c r="N717">
        <v>2</v>
      </c>
      <c r="O717" t="s">
        <v>21</v>
      </c>
    </row>
    <row r="718" spans="1:15" x14ac:dyDescent="0.3">
      <c r="A718" t="s">
        <v>1292</v>
      </c>
      <c r="B718" s="3">
        <v>45611</v>
      </c>
      <c r="C718" t="s">
        <v>59</v>
      </c>
      <c r="D718" t="s">
        <v>116</v>
      </c>
      <c r="E718" t="s">
        <v>87</v>
      </c>
      <c r="F718" t="s">
        <v>36</v>
      </c>
      <c r="G718">
        <v>1603.36</v>
      </c>
      <c r="H718">
        <v>941.77</v>
      </c>
      <c r="I718">
        <v>661.59</v>
      </c>
      <c r="K718">
        <v>5</v>
      </c>
      <c r="L718" t="s">
        <v>22</v>
      </c>
      <c r="M718" t="s">
        <v>111</v>
      </c>
      <c r="N718">
        <v>4</v>
      </c>
      <c r="O718" t="s">
        <v>21</v>
      </c>
    </row>
    <row r="719" spans="1:15" x14ac:dyDescent="0.3">
      <c r="A719" t="s">
        <v>1293</v>
      </c>
      <c r="B719" s="3">
        <v>45518</v>
      </c>
      <c r="C719" t="s">
        <v>17</v>
      </c>
      <c r="D719" t="s">
        <v>1698</v>
      </c>
      <c r="E719" t="s">
        <v>84</v>
      </c>
      <c r="F719" t="s">
        <v>20</v>
      </c>
      <c r="G719">
        <v>1689.85</v>
      </c>
      <c r="H719">
        <v>943.3</v>
      </c>
      <c r="I719">
        <v>746.55</v>
      </c>
      <c r="K719">
        <v>4</v>
      </c>
      <c r="L719" t="s">
        <v>22</v>
      </c>
      <c r="M719" t="s">
        <v>32</v>
      </c>
      <c r="N719">
        <v>3</v>
      </c>
      <c r="O719" t="s">
        <v>21</v>
      </c>
    </row>
    <row r="720" spans="1:15" x14ac:dyDescent="0.3">
      <c r="A720" t="s">
        <v>1295</v>
      </c>
      <c r="B720" s="3">
        <v>45605</v>
      </c>
      <c r="C720" t="s">
        <v>33</v>
      </c>
      <c r="D720" t="s">
        <v>297</v>
      </c>
      <c r="E720" t="s">
        <v>19</v>
      </c>
      <c r="F720" t="s">
        <v>73</v>
      </c>
      <c r="G720">
        <v>1217.08</v>
      </c>
      <c r="H720">
        <v>788.96</v>
      </c>
      <c r="I720">
        <v>428.12</v>
      </c>
      <c r="K720">
        <v>4</v>
      </c>
      <c r="L720" t="s">
        <v>22</v>
      </c>
      <c r="M720" t="s">
        <v>111</v>
      </c>
      <c r="N720">
        <v>4</v>
      </c>
      <c r="O720" t="s">
        <v>21</v>
      </c>
    </row>
    <row r="721" spans="1:15" x14ac:dyDescent="0.3">
      <c r="A721" t="s">
        <v>1297</v>
      </c>
      <c r="B721" s="3">
        <v>45504</v>
      </c>
      <c r="C721" t="s">
        <v>7</v>
      </c>
      <c r="D721" t="s">
        <v>69</v>
      </c>
      <c r="E721" t="s">
        <v>40</v>
      </c>
      <c r="F721" t="s">
        <v>36</v>
      </c>
      <c r="G721">
        <v>2134.3000000000002</v>
      </c>
      <c r="H721">
        <v>1420.58</v>
      </c>
      <c r="I721">
        <v>713.72</v>
      </c>
      <c r="K721">
        <v>5</v>
      </c>
      <c r="L721" t="s">
        <v>22</v>
      </c>
      <c r="M721" t="s">
        <v>54</v>
      </c>
      <c r="N721">
        <v>3</v>
      </c>
      <c r="O721" t="s">
        <v>21</v>
      </c>
    </row>
    <row r="722" spans="1:15" x14ac:dyDescent="0.3">
      <c r="A722" t="s">
        <v>1298</v>
      </c>
      <c r="B722" s="3">
        <v>45305</v>
      </c>
      <c r="C722" t="s">
        <v>59</v>
      </c>
      <c r="D722" t="s">
        <v>155</v>
      </c>
      <c r="E722" t="s">
        <v>27</v>
      </c>
      <c r="F722" t="s">
        <v>73</v>
      </c>
      <c r="G722">
        <v>2256.7800000000002</v>
      </c>
      <c r="H722">
        <v>1605.88</v>
      </c>
      <c r="I722">
        <v>650.9</v>
      </c>
      <c r="J722">
        <v>1</v>
      </c>
      <c r="K722">
        <v>3</v>
      </c>
      <c r="L722" t="s">
        <v>22</v>
      </c>
      <c r="M722" t="s">
        <v>25</v>
      </c>
      <c r="N722">
        <v>1</v>
      </c>
      <c r="O722" t="s">
        <v>56</v>
      </c>
    </row>
    <row r="723" spans="1:15" x14ac:dyDescent="0.3">
      <c r="A723" t="s">
        <v>1299</v>
      </c>
      <c r="B723" s="3">
        <v>45584</v>
      </c>
      <c r="C723" t="s">
        <v>33</v>
      </c>
      <c r="D723" t="s">
        <v>171</v>
      </c>
      <c r="E723" t="s">
        <v>27</v>
      </c>
      <c r="F723" t="s">
        <v>28</v>
      </c>
      <c r="G723">
        <v>1831.27</v>
      </c>
      <c r="H723">
        <v>1331.95</v>
      </c>
      <c r="I723">
        <v>499.32</v>
      </c>
      <c r="K723">
        <v>3</v>
      </c>
      <c r="L723" t="s">
        <v>22</v>
      </c>
      <c r="M723" t="s">
        <v>68</v>
      </c>
      <c r="N723">
        <v>4</v>
      </c>
      <c r="O723" t="s">
        <v>21</v>
      </c>
    </row>
    <row r="724" spans="1:15" x14ac:dyDescent="0.3">
      <c r="A724" t="s">
        <v>1301</v>
      </c>
      <c r="B724" s="3">
        <v>45306</v>
      </c>
      <c r="C724" t="s">
        <v>33</v>
      </c>
      <c r="D724" t="s">
        <v>119</v>
      </c>
      <c r="E724" t="s">
        <v>35</v>
      </c>
      <c r="F724" t="s">
        <v>28</v>
      </c>
      <c r="G724">
        <v>2154.61</v>
      </c>
      <c r="H724">
        <v>1206.44</v>
      </c>
      <c r="I724">
        <v>948.17</v>
      </c>
      <c r="J724">
        <v>4</v>
      </c>
      <c r="K724">
        <v>2</v>
      </c>
      <c r="L724" t="s">
        <v>22</v>
      </c>
      <c r="M724" t="s">
        <v>25</v>
      </c>
      <c r="N724">
        <v>1</v>
      </c>
      <c r="O724" t="s">
        <v>56</v>
      </c>
    </row>
    <row r="725" spans="1:15" x14ac:dyDescent="0.3">
      <c r="A725" t="s">
        <v>1302</v>
      </c>
      <c r="B725" s="3">
        <v>45347</v>
      </c>
      <c r="C725" t="s">
        <v>42</v>
      </c>
      <c r="D725" t="s">
        <v>83</v>
      </c>
      <c r="E725" t="s">
        <v>19</v>
      </c>
      <c r="F725" t="s">
        <v>20</v>
      </c>
      <c r="G725">
        <v>769.6</v>
      </c>
      <c r="H725">
        <v>670.84</v>
      </c>
      <c r="I725">
        <v>98.76</v>
      </c>
      <c r="J725">
        <v>12</v>
      </c>
      <c r="K725">
        <v>3</v>
      </c>
      <c r="L725" t="s">
        <v>22</v>
      </c>
      <c r="M725" t="s">
        <v>124</v>
      </c>
      <c r="N725">
        <v>1</v>
      </c>
      <c r="O725" t="s">
        <v>56</v>
      </c>
    </row>
    <row r="726" spans="1:15" x14ac:dyDescent="0.3">
      <c r="A726" t="s">
        <v>1303</v>
      </c>
      <c r="B726" s="3">
        <v>45355</v>
      </c>
      <c r="C726" t="s">
        <v>33</v>
      </c>
      <c r="D726" t="s">
        <v>93</v>
      </c>
      <c r="E726" t="s">
        <v>40</v>
      </c>
      <c r="F726" t="s">
        <v>44</v>
      </c>
      <c r="G726">
        <v>2431.9299999999998</v>
      </c>
      <c r="H726">
        <v>1484.66</v>
      </c>
      <c r="I726">
        <v>947.27</v>
      </c>
      <c r="K726">
        <v>5</v>
      </c>
      <c r="L726" t="s">
        <v>22</v>
      </c>
      <c r="M726" t="s">
        <v>76</v>
      </c>
      <c r="N726">
        <v>1</v>
      </c>
      <c r="O726" t="s">
        <v>21</v>
      </c>
    </row>
    <row r="727" spans="1:15" x14ac:dyDescent="0.3">
      <c r="A727" t="s">
        <v>1304</v>
      </c>
      <c r="B727" s="3">
        <v>45335</v>
      </c>
      <c r="C727" t="s">
        <v>7</v>
      </c>
      <c r="D727" t="s">
        <v>69</v>
      </c>
      <c r="E727" t="s">
        <v>84</v>
      </c>
      <c r="F727" t="s">
        <v>44</v>
      </c>
      <c r="G727">
        <v>2343.69</v>
      </c>
      <c r="H727">
        <v>1807.85</v>
      </c>
      <c r="I727">
        <v>535.84</v>
      </c>
      <c r="K727">
        <v>4</v>
      </c>
      <c r="L727" t="s">
        <v>29</v>
      </c>
      <c r="M727" t="s">
        <v>124</v>
      </c>
      <c r="N727">
        <v>1</v>
      </c>
      <c r="O727" t="s">
        <v>21</v>
      </c>
    </row>
    <row r="728" spans="1:15" x14ac:dyDescent="0.3">
      <c r="A728" t="s">
        <v>1305</v>
      </c>
      <c r="B728" s="3">
        <v>45604</v>
      </c>
      <c r="C728" t="s">
        <v>59</v>
      </c>
      <c r="D728" t="s">
        <v>301</v>
      </c>
      <c r="E728" t="s">
        <v>87</v>
      </c>
      <c r="F728" t="s">
        <v>44</v>
      </c>
      <c r="G728">
        <v>1672.13</v>
      </c>
      <c r="H728">
        <v>949.1</v>
      </c>
      <c r="I728">
        <v>723.03</v>
      </c>
      <c r="K728">
        <v>2</v>
      </c>
      <c r="L728" t="s">
        <v>22</v>
      </c>
      <c r="M728" t="s">
        <v>111</v>
      </c>
      <c r="N728">
        <v>4</v>
      </c>
      <c r="O728" t="s">
        <v>21</v>
      </c>
    </row>
    <row r="729" spans="1:15" x14ac:dyDescent="0.3">
      <c r="A729" t="s">
        <v>1307</v>
      </c>
      <c r="B729" s="3">
        <v>45440</v>
      </c>
      <c r="C729" t="s">
        <v>7</v>
      </c>
      <c r="D729" t="s">
        <v>55</v>
      </c>
      <c r="E729" t="s">
        <v>19</v>
      </c>
      <c r="F729" t="s">
        <v>44</v>
      </c>
      <c r="G729">
        <v>934.44</v>
      </c>
      <c r="H729">
        <v>728.02</v>
      </c>
      <c r="I729">
        <v>206.42</v>
      </c>
      <c r="K729">
        <v>5</v>
      </c>
      <c r="L729" t="s">
        <v>22</v>
      </c>
      <c r="M729" t="s">
        <v>104</v>
      </c>
      <c r="N729">
        <v>2</v>
      </c>
      <c r="O729" t="s">
        <v>21</v>
      </c>
    </row>
    <row r="730" spans="1:15" x14ac:dyDescent="0.3">
      <c r="A730" t="s">
        <v>1308</v>
      </c>
      <c r="B730" s="3">
        <v>45494</v>
      </c>
      <c r="C730" t="s">
        <v>59</v>
      </c>
      <c r="D730" t="s">
        <v>194</v>
      </c>
      <c r="E730" t="s">
        <v>19</v>
      </c>
      <c r="F730" t="s">
        <v>44</v>
      </c>
      <c r="G730">
        <v>1586.04</v>
      </c>
      <c r="H730">
        <v>1255.46</v>
      </c>
      <c r="I730">
        <v>330.58</v>
      </c>
      <c r="K730">
        <v>5</v>
      </c>
      <c r="L730" t="s">
        <v>22</v>
      </c>
      <c r="M730" t="s">
        <v>54</v>
      </c>
      <c r="N730">
        <v>3</v>
      </c>
      <c r="O730" t="s">
        <v>21</v>
      </c>
    </row>
    <row r="731" spans="1:15" x14ac:dyDescent="0.3">
      <c r="A731" t="s">
        <v>1310</v>
      </c>
      <c r="B731" s="3">
        <v>45330</v>
      </c>
      <c r="C731" t="s">
        <v>7</v>
      </c>
      <c r="D731" t="s">
        <v>134</v>
      </c>
      <c r="E731" t="s">
        <v>40</v>
      </c>
      <c r="F731" t="s">
        <v>36</v>
      </c>
      <c r="G731">
        <v>1290.99</v>
      </c>
      <c r="H731">
        <v>958.24</v>
      </c>
      <c r="I731">
        <v>332.75</v>
      </c>
      <c r="K731">
        <v>5</v>
      </c>
      <c r="L731" t="s">
        <v>22</v>
      </c>
      <c r="M731" t="s">
        <v>124</v>
      </c>
      <c r="N731">
        <v>1</v>
      </c>
      <c r="O731" t="s">
        <v>21</v>
      </c>
    </row>
    <row r="732" spans="1:15" x14ac:dyDescent="0.3">
      <c r="A732" t="s">
        <v>1312</v>
      </c>
      <c r="B732" s="3">
        <v>45302</v>
      </c>
      <c r="C732" t="s">
        <v>17</v>
      </c>
      <c r="D732" t="s">
        <v>226</v>
      </c>
      <c r="E732" t="s">
        <v>40</v>
      </c>
      <c r="F732" t="s">
        <v>44</v>
      </c>
      <c r="G732">
        <v>2113.69</v>
      </c>
      <c r="H732">
        <v>1684.49</v>
      </c>
      <c r="I732">
        <v>429.2</v>
      </c>
      <c r="K732">
        <v>3</v>
      </c>
      <c r="L732" t="s">
        <v>22</v>
      </c>
      <c r="M732" t="s">
        <v>25</v>
      </c>
      <c r="N732">
        <v>1</v>
      </c>
      <c r="O732" t="s">
        <v>21</v>
      </c>
    </row>
    <row r="733" spans="1:15" x14ac:dyDescent="0.3">
      <c r="A733" t="s">
        <v>1314</v>
      </c>
      <c r="B733" s="3">
        <v>45560</v>
      </c>
      <c r="C733" t="s">
        <v>33</v>
      </c>
      <c r="D733" t="s">
        <v>297</v>
      </c>
      <c r="E733" t="s">
        <v>40</v>
      </c>
      <c r="F733" t="s">
        <v>44</v>
      </c>
      <c r="G733">
        <v>1017.1</v>
      </c>
      <c r="H733">
        <v>776.17</v>
      </c>
      <c r="I733">
        <v>240.93</v>
      </c>
      <c r="K733">
        <v>3</v>
      </c>
      <c r="L733" t="s">
        <v>29</v>
      </c>
      <c r="M733" t="s">
        <v>115</v>
      </c>
      <c r="N733">
        <v>3</v>
      </c>
      <c r="O733" t="s">
        <v>21</v>
      </c>
    </row>
    <row r="734" spans="1:15" x14ac:dyDescent="0.3">
      <c r="A734" t="s">
        <v>1315</v>
      </c>
      <c r="B734" s="3">
        <v>45559</v>
      </c>
      <c r="C734" t="s">
        <v>59</v>
      </c>
      <c r="D734" t="s">
        <v>108</v>
      </c>
      <c r="E734" t="s">
        <v>40</v>
      </c>
      <c r="F734" t="s">
        <v>44</v>
      </c>
      <c r="G734">
        <v>3131.22</v>
      </c>
      <c r="H734">
        <v>1791.41</v>
      </c>
      <c r="I734">
        <v>1339.81</v>
      </c>
      <c r="K734">
        <v>5</v>
      </c>
      <c r="L734" t="s">
        <v>22</v>
      </c>
      <c r="M734" t="s">
        <v>115</v>
      </c>
      <c r="N734">
        <v>3</v>
      </c>
      <c r="O734" t="s">
        <v>21</v>
      </c>
    </row>
    <row r="735" spans="1:15" x14ac:dyDescent="0.3">
      <c r="A735" t="s">
        <v>1317</v>
      </c>
      <c r="B735" s="3">
        <v>45589</v>
      </c>
      <c r="C735" t="s">
        <v>7</v>
      </c>
      <c r="D735" t="s">
        <v>65</v>
      </c>
      <c r="E735" t="s">
        <v>84</v>
      </c>
      <c r="F735" t="s">
        <v>36</v>
      </c>
      <c r="G735">
        <v>2433.9699999999998</v>
      </c>
      <c r="H735">
        <v>1416.7</v>
      </c>
      <c r="I735">
        <v>1017.27</v>
      </c>
      <c r="J735">
        <v>4</v>
      </c>
      <c r="K735">
        <v>2</v>
      </c>
      <c r="L735" t="s">
        <v>22</v>
      </c>
      <c r="M735" t="s">
        <v>68</v>
      </c>
      <c r="N735">
        <v>4</v>
      </c>
      <c r="O735" t="s">
        <v>56</v>
      </c>
    </row>
    <row r="736" spans="1:15" x14ac:dyDescent="0.3">
      <c r="A736" t="s">
        <v>1319</v>
      </c>
      <c r="B736" s="3">
        <v>45593</v>
      </c>
      <c r="C736" t="s">
        <v>17</v>
      </c>
      <c r="D736" t="s">
        <v>26</v>
      </c>
      <c r="E736" t="s">
        <v>19</v>
      </c>
      <c r="F736" t="s">
        <v>845</v>
      </c>
      <c r="G736">
        <v>1236.19</v>
      </c>
      <c r="H736">
        <v>855.85</v>
      </c>
      <c r="I736">
        <v>380.34</v>
      </c>
      <c r="K736">
        <v>5</v>
      </c>
      <c r="L736" t="s">
        <v>22</v>
      </c>
      <c r="M736" t="s">
        <v>68</v>
      </c>
      <c r="N736">
        <v>4</v>
      </c>
      <c r="O736" t="s">
        <v>21</v>
      </c>
    </row>
    <row r="737" spans="1:15" x14ac:dyDescent="0.3">
      <c r="A737" t="s">
        <v>1321</v>
      </c>
      <c r="B737" s="3">
        <v>45347</v>
      </c>
      <c r="C737" t="s">
        <v>33</v>
      </c>
      <c r="D737" t="s">
        <v>119</v>
      </c>
      <c r="E737" t="s">
        <v>27</v>
      </c>
      <c r="F737" t="s">
        <v>176</v>
      </c>
      <c r="G737">
        <v>2212.52</v>
      </c>
      <c r="H737">
        <v>1541.48</v>
      </c>
      <c r="I737">
        <v>671.04</v>
      </c>
      <c r="J737">
        <v>4</v>
      </c>
      <c r="K737">
        <v>3</v>
      </c>
      <c r="L737" t="s">
        <v>29</v>
      </c>
      <c r="M737" t="s">
        <v>124</v>
      </c>
      <c r="N737">
        <v>1</v>
      </c>
      <c r="O737" t="s">
        <v>56</v>
      </c>
    </row>
    <row r="738" spans="1:15" x14ac:dyDescent="0.3">
      <c r="A738" t="s">
        <v>1323</v>
      </c>
      <c r="B738" s="3">
        <v>45475</v>
      </c>
      <c r="C738" t="s">
        <v>17</v>
      </c>
      <c r="D738" t="s">
        <v>72</v>
      </c>
      <c r="E738" t="s">
        <v>27</v>
      </c>
      <c r="F738" t="s">
        <v>36</v>
      </c>
      <c r="G738">
        <v>4514.55</v>
      </c>
      <c r="H738">
        <v>2626.58</v>
      </c>
      <c r="I738">
        <v>1887.97</v>
      </c>
      <c r="K738">
        <v>4</v>
      </c>
      <c r="L738" t="s">
        <v>22</v>
      </c>
      <c r="M738" t="s">
        <v>54</v>
      </c>
      <c r="N738">
        <v>3</v>
      </c>
      <c r="O738" t="s">
        <v>21</v>
      </c>
    </row>
    <row r="739" spans="1:15" x14ac:dyDescent="0.3">
      <c r="A739" t="s">
        <v>1324</v>
      </c>
      <c r="B739" s="3">
        <v>45325</v>
      </c>
      <c r="C739" t="s">
        <v>59</v>
      </c>
      <c r="D739" t="s">
        <v>108</v>
      </c>
      <c r="E739" t="s">
        <v>40</v>
      </c>
      <c r="F739" t="s">
        <v>44</v>
      </c>
      <c r="G739">
        <v>1742.37</v>
      </c>
      <c r="H739">
        <v>1111.3900000000001</v>
      </c>
      <c r="I739">
        <v>630.98</v>
      </c>
      <c r="K739">
        <v>4</v>
      </c>
      <c r="L739" t="s">
        <v>22</v>
      </c>
      <c r="M739" t="s">
        <v>124</v>
      </c>
      <c r="N739">
        <v>1</v>
      </c>
      <c r="O739" t="s">
        <v>21</v>
      </c>
    </row>
    <row r="740" spans="1:15" x14ac:dyDescent="0.3">
      <c r="A740" t="s">
        <v>1326</v>
      </c>
      <c r="B740" s="3">
        <v>45556</v>
      </c>
      <c r="C740" t="s">
        <v>7</v>
      </c>
      <c r="D740" t="s">
        <v>69</v>
      </c>
      <c r="E740" t="s">
        <v>40</v>
      </c>
      <c r="F740" t="s">
        <v>44</v>
      </c>
      <c r="G740">
        <v>2711.2</v>
      </c>
      <c r="H740">
        <v>2107.9299999999998</v>
      </c>
      <c r="I740">
        <v>603.27</v>
      </c>
      <c r="K740">
        <v>5</v>
      </c>
      <c r="L740" t="s">
        <v>22</v>
      </c>
      <c r="M740" t="s">
        <v>115</v>
      </c>
      <c r="N740">
        <v>3</v>
      </c>
      <c r="O740" t="s">
        <v>21</v>
      </c>
    </row>
    <row r="741" spans="1:15" x14ac:dyDescent="0.3">
      <c r="A741" t="s">
        <v>1328</v>
      </c>
      <c r="B741" s="3">
        <v>45320</v>
      </c>
      <c r="C741" t="s">
        <v>17</v>
      </c>
      <c r="D741" t="s">
        <v>1698</v>
      </c>
      <c r="E741" t="s">
        <v>87</v>
      </c>
      <c r="F741" t="s">
        <v>36</v>
      </c>
      <c r="G741">
        <v>2023.51</v>
      </c>
      <c r="H741">
        <v>1262.1199999999999</v>
      </c>
      <c r="I741">
        <v>761.39</v>
      </c>
      <c r="K741">
        <v>4</v>
      </c>
      <c r="L741" t="s">
        <v>22</v>
      </c>
      <c r="M741" t="s">
        <v>25</v>
      </c>
      <c r="N741">
        <v>1</v>
      </c>
      <c r="O741" t="s">
        <v>21</v>
      </c>
    </row>
    <row r="742" spans="1:15" x14ac:dyDescent="0.3">
      <c r="A742" t="s">
        <v>1329</v>
      </c>
      <c r="B742" s="3">
        <v>45390</v>
      </c>
      <c r="C742" t="s">
        <v>17</v>
      </c>
      <c r="D742" t="s">
        <v>100</v>
      </c>
      <c r="E742" t="s">
        <v>84</v>
      </c>
      <c r="F742" t="s">
        <v>44</v>
      </c>
      <c r="G742">
        <v>1744.75</v>
      </c>
      <c r="H742">
        <v>1045.67</v>
      </c>
      <c r="I742">
        <v>699.08</v>
      </c>
      <c r="K742">
        <v>4</v>
      </c>
      <c r="L742" t="s">
        <v>22</v>
      </c>
      <c r="M742" t="s">
        <v>16</v>
      </c>
      <c r="N742">
        <v>2</v>
      </c>
      <c r="O742" t="s">
        <v>21</v>
      </c>
    </row>
    <row r="743" spans="1:15" x14ac:dyDescent="0.3">
      <c r="A743" t="s">
        <v>1330</v>
      </c>
      <c r="B743" s="3">
        <v>45572</v>
      </c>
      <c r="C743" t="s">
        <v>17</v>
      </c>
      <c r="D743" t="s">
        <v>226</v>
      </c>
      <c r="E743" t="s">
        <v>84</v>
      </c>
      <c r="F743" t="s">
        <v>44</v>
      </c>
      <c r="G743">
        <v>3128.72</v>
      </c>
      <c r="H743">
        <v>2357.79</v>
      </c>
      <c r="I743">
        <v>770.93</v>
      </c>
      <c r="K743">
        <v>3</v>
      </c>
      <c r="L743" t="s">
        <v>22</v>
      </c>
      <c r="M743" t="s">
        <v>68</v>
      </c>
      <c r="N743">
        <v>4</v>
      </c>
      <c r="O743" t="s">
        <v>21</v>
      </c>
    </row>
    <row r="744" spans="1:15" x14ac:dyDescent="0.3">
      <c r="A744" t="s">
        <v>1332</v>
      </c>
      <c r="B744" s="3">
        <v>45524</v>
      </c>
      <c r="C744" t="s">
        <v>59</v>
      </c>
      <c r="D744" t="s">
        <v>155</v>
      </c>
      <c r="E744" t="s">
        <v>84</v>
      </c>
      <c r="F744" t="s">
        <v>44</v>
      </c>
      <c r="G744">
        <v>152.41</v>
      </c>
      <c r="H744">
        <v>108.14</v>
      </c>
      <c r="I744">
        <v>44.27</v>
      </c>
      <c r="K744">
        <v>5</v>
      </c>
      <c r="L744" t="s">
        <v>22</v>
      </c>
      <c r="M744" t="s">
        <v>32</v>
      </c>
      <c r="N744">
        <v>3</v>
      </c>
      <c r="O744" t="s">
        <v>21</v>
      </c>
    </row>
    <row r="745" spans="1:15" x14ac:dyDescent="0.3">
      <c r="A745" t="s">
        <v>1333</v>
      </c>
      <c r="B745" s="3">
        <v>45545</v>
      </c>
      <c r="C745" t="s">
        <v>42</v>
      </c>
      <c r="D745" t="s">
        <v>43</v>
      </c>
      <c r="E745" t="s">
        <v>27</v>
      </c>
      <c r="F745" t="s">
        <v>28</v>
      </c>
      <c r="G745">
        <v>2443.73</v>
      </c>
      <c r="H745">
        <v>2178.48</v>
      </c>
      <c r="I745">
        <v>265.25</v>
      </c>
      <c r="J745">
        <v>13</v>
      </c>
      <c r="K745">
        <v>4</v>
      </c>
      <c r="L745" t="s">
        <v>29</v>
      </c>
      <c r="M745" t="s">
        <v>115</v>
      </c>
      <c r="N745">
        <v>3</v>
      </c>
      <c r="O745" t="s">
        <v>56</v>
      </c>
    </row>
    <row r="746" spans="1:15" x14ac:dyDescent="0.3">
      <c r="A746" t="s">
        <v>1334</v>
      </c>
      <c r="B746" s="3">
        <v>45296</v>
      </c>
      <c r="C746" t="s">
        <v>33</v>
      </c>
      <c r="D746" t="s">
        <v>39</v>
      </c>
      <c r="E746" t="s">
        <v>19</v>
      </c>
      <c r="F746" t="s">
        <v>36</v>
      </c>
      <c r="G746">
        <v>1953.28</v>
      </c>
      <c r="H746">
        <v>1299.23</v>
      </c>
      <c r="I746">
        <v>654.04999999999995</v>
      </c>
      <c r="K746">
        <v>3</v>
      </c>
      <c r="L746" t="s">
        <v>22</v>
      </c>
      <c r="M746" t="s">
        <v>25</v>
      </c>
      <c r="N746">
        <v>1</v>
      </c>
      <c r="O746" t="s">
        <v>21</v>
      </c>
    </row>
    <row r="747" spans="1:15" x14ac:dyDescent="0.3">
      <c r="A747" t="s">
        <v>1335</v>
      </c>
      <c r="B747" s="3">
        <v>45545</v>
      </c>
      <c r="C747" t="s">
        <v>42</v>
      </c>
      <c r="D747" t="s">
        <v>80</v>
      </c>
      <c r="E747" t="s">
        <v>19</v>
      </c>
      <c r="F747" t="s">
        <v>36</v>
      </c>
      <c r="G747">
        <v>3539.68</v>
      </c>
      <c r="H747">
        <v>2551.1</v>
      </c>
      <c r="I747">
        <v>988.58</v>
      </c>
      <c r="K747">
        <v>4</v>
      </c>
      <c r="L747" t="s">
        <v>29</v>
      </c>
      <c r="M747" t="s">
        <v>115</v>
      </c>
      <c r="N747">
        <v>3</v>
      </c>
      <c r="O747" t="s">
        <v>21</v>
      </c>
    </row>
    <row r="748" spans="1:15" x14ac:dyDescent="0.3">
      <c r="A748" t="s">
        <v>1336</v>
      </c>
      <c r="B748" s="3">
        <v>45529</v>
      </c>
      <c r="C748" t="s">
        <v>59</v>
      </c>
      <c r="D748" t="s">
        <v>60</v>
      </c>
      <c r="E748" t="s">
        <v>19</v>
      </c>
      <c r="F748" t="s">
        <v>73</v>
      </c>
      <c r="G748">
        <v>1037.78</v>
      </c>
      <c r="H748">
        <v>601.89</v>
      </c>
      <c r="I748">
        <v>435.89</v>
      </c>
      <c r="K748">
        <v>5</v>
      </c>
      <c r="L748" t="s">
        <v>22</v>
      </c>
      <c r="M748" t="s">
        <v>32</v>
      </c>
      <c r="N748">
        <v>3</v>
      </c>
      <c r="O748" t="s">
        <v>21</v>
      </c>
    </row>
    <row r="749" spans="1:15" x14ac:dyDescent="0.3">
      <c r="A749" t="s">
        <v>1338</v>
      </c>
      <c r="B749" s="3">
        <v>45596</v>
      </c>
      <c r="C749" t="s">
        <v>17</v>
      </c>
      <c r="D749" t="s">
        <v>26</v>
      </c>
      <c r="E749" t="s">
        <v>84</v>
      </c>
      <c r="F749" t="s">
        <v>845</v>
      </c>
      <c r="G749">
        <v>974.64</v>
      </c>
      <c r="H749">
        <v>605.5</v>
      </c>
      <c r="I749">
        <v>369.14</v>
      </c>
      <c r="K749">
        <v>5</v>
      </c>
      <c r="L749" t="s">
        <v>22</v>
      </c>
      <c r="M749" t="s">
        <v>68</v>
      </c>
      <c r="N749">
        <v>4</v>
      </c>
      <c r="O749" t="s">
        <v>21</v>
      </c>
    </row>
    <row r="750" spans="1:15" x14ac:dyDescent="0.3">
      <c r="A750" t="s">
        <v>1339</v>
      </c>
      <c r="B750" s="3">
        <v>45399</v>
      </c>
      <c r="C750" t="s">
        <v>59</v>
      </c>
      <c r="D750" t="s">
        <v>490</v>
      </c>
      <c r="E750" t="s">
        <v>19</v>
      </c>
      <c r="F750" t="s">
        <v>73</v>
      </c>
      <c r="G750">
        <v>2395.09</v>
      </c>
      <c r="H750">
        <v>1737.53</v>
      </c>
      <c r="I750">
        <v>657.56</v>
      </c>
      <c r="K750">
        <v>5</v>
      </c>
      <c r="L750" t="s">
        <v>29</v>
      </c>
      <c r="M750" t="s">
        <v>16</v>
      </c>
      <c r="N750">
        <v>2</v>
      </c>
      <c r="O750" t="s">
        <v>21</v>
      </c>
    </row>
    <row r="751" spans="1:15" x14ac:dyDescent="0.3">
      <c r="A751" t="s">
        <v>1341</v>
      </c>
      <c r="B751" s="3">
        <v>45355</v>
      </c>
      <c r="C751" t="s">
        <v>17</v>
      </c>
      <c r="D751" t="s">
        <v>18</v>
      </c>
      <c r="E751" t="s">
        <v>35</v>
      </c>
      <c r="F751" t="s">
        <v>20</v>
      </c>
      <c r="G751">
        <v>474.88</v>
      </c>
      <c r="H751">
        <v>287.10000000000002</v>
      </c>
      <c r="I751">
        <v>187.78</v>
      </c>
      <c r="K751">
        <v>3</v>
      </c>
      <c r="L751" t="s">
        <v>22</v>
      </c>
      <c r="M751" t="s">
        <v>76</v>
      </c>
      <c r="N751">
        <v>1</v>
      </c>
      <c r="O751" t="s">
        <v>21</v>
      </c>
    </row>
    <row r="752" spans="1:15" x14ac:dyDescent="0.3">
      <c r="A752" t="s">
        <v>1342</v>
      </c>
      <c r="B752" s="3">
        <v>45415</v>
      </c>
      <c r="C752" t="s">
        <v>59</v>
      </c>
      <c r="D752" t="s">
        <v>155</v>
      </c>
      <c r="E752" t="s">
        <v>84</v>
      </c>
      <c r="F752" t="s">
        <v>44</v>
      </c>
      <c r="G752">
        <v>1933.83</v>
      </c>
      <c r="H752">
        <v>1302.02</v>
      </c>
      <c r="I752">
        <v>631.80999999999995</v>
      </c>
      <c r="K752">
        <v>3</v>
      </c>
      <c r="L752" t="s">
        <v>22</v>
      </c>
      <c r="M752" t="s">
        <v>104</v>
      </c>
      <c r="N752">
        <v>2</v>
      </c>
      <c r="O752" t="s">
        <v>56</v>
      </c>
    </row>
    <row r="753" spans="1:15" x14ac:dyDescent="0.3">
      <c r="A753" t="s">
        <v>1344</v>
      </c>
      <c r="B753" s="3">
        <v>45295</v>
      </c>
      <c r="C753" t="s">
        <v>42</v>
      </c>
      <c r="D753" t="s">
        <v>83</v>
      </c>
      <c r="E753" t="s">
        <v>84</v>
      </c>
      <c r="F753" t="s">
        <v>44</v>
      </c>
      <c r="G753">
        <v>2848.82</v>
      </c>
      <c r="H753">
        <v>2385.0500000000002</v>
      </c>
      <c r="I753">
        <v>463.77</v>
      </c>
      <c r="J753">
        <v>8</v>
      </c>
      <c r="K753">
        <v>1</v>
      </c>
      <c r="L753" t="s">
        <v>29</v>
      </c>
      <c r="M753" t="s">
        <v>25</v>
      </c>
      <c r="N753">
        <v>1</v>
      </c>
      <c r="O753" t="s">
        <v>21</v>
      </c>
    </row>
    <row r="754" spans="1:15" x14ac:dyDescent="0.3">
      <c r="A754" t="s">
        <v>1346</v>
      </c>
      <c r="B754" s="3">
        <v>45346</v>
      </c>
      <c r="C754" t="s">
        <v>42</v>
      </c>
      <c r="D754" t="s">
        <v>43</v>
      </c>
      <c r="E754" t="s">
        <v>27</v>
      </c>
      <c r="F754" t="s">
        <v>44</v>
      </c>
      <c r="G754">
        <v>2619.1</v>
      </c>
      <c r="H754">
        <v>1943.09</v>
      </c>
      <c r="I754">
        <v>676.01</v>
      </c>
      <c r="J754">
        <v>5</v>
      </c>
      <c r="K754">
        <v>3</v>
      </c>
      <c r="L754" t="s">
        <v>29</v>
      </c>
      <c r="M754" t="s">
        <v>124</v>
      </c>
      <c r="N754">
        <v>1</v>
      </c>
      <c r="O754" t="s">
        <v>56</v>
      </c>
    </row>
    <row r="755" spans="1:15" x14ac:dyDescent="0.3">
      <c r="A755" t="s">
        <v>1347</v>
      </c>
      <c r="B755" s="3">
        <v>45517</v>
      </c>
      <c r="C755" t="s">
        <v>33</v>
      </c>
      <c r="D755" t="s">
        <v>39</v>
      </c>
      <c r="E755" t="s">
        <v>84</v>
      </c>
      <c r="F755" t="s">
        <v>44</v>
      </c>
      <c r="G755">
        <v>2516.33</v>
      </c>
      <c r="H755">
        <v>1937.37</v>
      </c>
      <c r="I755">
        <v>578.96</v>
      </c>
      <c r="K755">
        <v>4</v>
      </c>
      <c r="L755" t="s">
        <v>22</v>
      </c>
      <c r="M755" t="s">
        <v>32</v>
      </c>
      <c r="N755">
        <v>3</v>
      </c>
      <c r="O755" t="s">
        <v>21</v>
      </c>
    </row>
    <row r="756" spans="1:15" x14ac:dyDescent="0.3">
      <c r="A756" t="s">
        <v>1349</v>
      </c>
      <c r="B756" s="3">
        <v>45303</v>
      </c>
      <c r="C756" t="s">
        <v>33</v>
      </c>
      <c r="D756" t="s">
        <v>93</v>
      </c>
      <c r="E756" t="s">
        <v>35</v>
      </c>
      <c r="F756" t="s">
        <v>28</v>
      </c>
      <c r="G756">
        <v>1238.82</v>
      </c>
      <c r="H756">
        <v>758.76</v>
      </c>
      <c r="I756">
        <v>480.06</v>
      </c>
      <c r="L756" t="s">
        <v>22</v>
      </c>
      <c r="M756" t="s">
        <v>25</v>
      </c>
      <c r="N756">
        <v>1</v>
      </c>
      <c r="O756" t="s">
        <v>21</v>
      </c>
    </row>
    <row r="757" spans="1:15" x14ac:dyDescent="0.3">
      <c r="A757" t="s">
        <v>1350</v>
      </c>
      <c r="B757" s="3">
        <v>45482</v>
      </c>
      <c r="C757" t="s">
        <v>42</v>
      </c>
      <c r="D757" t="s">
        <v>262</v>
      </c>
      <c r="E757" t="s">
        <v>40</v>
      </c>
      <c r="F757" t="s">
        <v>28</v>
      </c>
      <c r="G757">
        <v>1373.01</v>
      </c>
      <c r="H757">
        <v>1082.1099999999999</v>
      </c>
      <c r="I757">
        <v>290.89999999999998</v>
      </c>
      <c r="J757">
        <v>6</v>
      </c>
      <c r="K757">
        <v>3</v>
      </c>
      <c r="L757" t="s">
        <v>22</v>
      </c>
      <c r="M757" t="s">
        <v>54</v>
      </c>
      <c r="N757">
        <v>3</v>
      </c>
      <c r="O757" t="s">
        <v>56</v>
      </c>
    </row>
    <row r="758" spans="1:15" x14ac:dyDescent="0.3">
      <c r="A758" t="s">
        <v>1352</v>
      </c>
      <c r="B758" s="3">
        <v>45402</v>
      </c>
      <c r="C758" t="s">
        <v>7</v>
      </c>
      <c r="D758" t="s">
        <v>55</v>
      </c>
      <c r="E758" t="s">
        <v>84</v>
      </c>
      <c r="F758" t="s">
        <v>36</v>
      </c>
      <c r="G758">
        <v>849.94</v>
      </c>
      <c r="H758">
        <v>630.03</v>
      </c>
      <c r="I758">
        <v>219.91</v>
      </c>
      <c r="K758">
        <v>4</v>
      </c>
      <c r="L758" t="s">
        <v>22</v>
      </c>
      <c r="M758" t="s">
        <v>16</v>
      </c>
      <c r="N758">
        <v>2</v>
      </c>
      <c r="O758" t="s">
        <v>21</v>
      </c>
    </row>
    <row r="759" spans="1:15" x14ac:dyDescent="0.3">
      <c r="A759" t="s">
        <v>1354</v>
      </c>
      <c r="B759" s="3">
        <v>45400</v>
      </c>
      <c r="C759" t="s">
        <v>33</v>
      </c>
      <c r="D759" t="s">
        <v>39</v>
      </c>
      <c r="E759" t="s">
        <v>87</v>
      </c>
      <c r="F759" t="s">
        <v>73</v>
      </c>
      <c r="G759">
        <v>771.89</v>
      </c>
      <c r="H759">
        <v>435.92</v>
      </c>
      <c r="I759">
        <v>335.97</v>
      </c>
      <c r="K759">
        <v>5</v>
      </c>
      <c r="L759" t="s">
        <v>22</v>
      </c>
      <c r="M759" t="s">
        <v>16</v>
      </c>
      <c r="N759">
        <v>2</v>
      </c>
      <c r="O759" t="s">
        <v>21</v>
      </c>
    </row>
    <row r="760" spans="1:15" x14ac:dyDescent="0.3">
      <c r="A760" t="s">
        <v>1356</v>
      </c>
      <c r="B760" s="3">
        <v>45367</v>
      </c>
      <c r="C760" t="s">
        <v>7</v>
      </c>
      <c r="D760" t="s">
        <v>182</v>
      </c>
      <c r="E760" t="s">
        <v>84</v>
      </c>
      <c r="F760" t="s">
        <v>28</v>
      </c>
      <c r="G760">
        <v>1737.86</v>
      </c>
      <c r="H760">
        <v>965.3</v>
      </c>
      <c r="I760">
        <v>772.56</v>
      </c>
      <c r="K760">
        <v>4</v>
      </c>
      <c r="L760" t="s">
        <v>22</v>
      </c>
      <c r="M760" t="s">
        <v>76</v>
      </c>
      <c r="N760">
        <v>1</v>
      </c>
      <c r="O760" t="s">
        <v>21</v>
      </c>
    </row>
    <row r="761" spans="1:15" x14ac:dyDescent="0.3">
      <c r="A761" t="s">
        <v>1357</v>
      </c>
      <c r="B761" s="3">
        <v>45531</v>
      </c>
      <c r="C761" t="s">
        <v>33</v>
      </c>
      <c r="D761" t="s">
        <v>297</v>
      </c>
      <c r="E761" t="s">
        <v>84</v>
      </c>
      <c r="F761" t="s">
        <v>73</v>
      </c>
      <c r="G761">
        <v>2457.0700000000002</v>
      </c>
      <c r="H761">
        <v>1781.21</v>
      </c>
      <c r="I761">
        <v>675.86</v>
      </c>
      <c r="K761">
        <v>3</v>
      </c>
      <c r="L761" t="s">
        <v>29</v>
      </c>
      <c r="M761" t="s">
        <v>32</v>
      </c>
      <c r="N761">
        <v>3</v>
      </c>
      <c r="O761" t="s">
        <v>21</v>
      </c>
    </row>
    <row r="762" spans="1:15" x14ac:dyDescent="0.3">
      <c r="A762" t="s">
        <v>1359</v>
      </c>
      <c r="B762" s="3">
        <v>45457</v>
      </c>
      <c r="C762" t="s">
        <v>59</v>
      </c>
      <c r="D762" t="s">
        <v>60</v>
      </c>
      <c r="E762" t="s">
        <v>35</v>
      </c>
      <c r="F762" t="s">
        <v>36</v>
      </c>
      <c r="G762">
        <v>1067.93</v>
      </c>
      <c r="H762">
        <v>704.15</v>
      </c>
      <c r="I762">
        <v>363.78</v>
      </c>
      <c r="J762">
        <v>6</v>
      </c>
      <c r="K762">
        <v>1</v>
      </c>
      <c r="L762" t="s">
        <v>22</v>
      </c>
      <c r="M762" t="s">
        <v>64</v>
      </c>
      <c r="N762">
        <v>2</v>
      </c>
      <c r="O762" t="s">
        <v>56</v>
      </c>
    </row>
    <row r="763" spans="1:15" x14ac:dyDescent="0.3">
      <c r="A763" t="s">
        <v>1360</v>
      </c>
      <c r="B763" s="3">
        <v>45375</v>
      </c>
      <c r="C763" t="s">
        <v>7</v>
      </c>
      <c r="D763" t="s">
        <v>182</v>
      </c>
      <c r="E763" t="s">
        <v>87</v>
      </c>
      <c r="F763" t="s">
        <v>20</v>
      </c>
      <c r="G763">
        <v>1451.48</v>
      </c>
      <c r="H763">
        <v>944.33</v>
      </c>
      <c r="I763">
        <v>507.15</v>
      </c>
      <c r="J763">
        <v>7</v>
      </c>
      <c r="K763">
        <v>3</v>
      </c>
      <c r="L763" t="s">
        <v>22</v>
      </c>
      <c r="M763" t="s">
        <v>76</v>
      </c>
      <c r="N763">
        <v>1</v>
      </c>
      <c r="O763" t="s">
        <v>56</v>
      </c>
    </row>
    <row r="764" spans="1:15" x14ac:dyDescent="0.3">
      <c r="A764" t="s">
        <v>1361</v>
      </c>
      <c r="B764" s="3">
        <v>45470</v>
      </c>
      <c r="C764" t="s">
        <v>42</v>
      </c>
      <c r="D764" t="s">
        <v>83</v>
      </c>
      <c r="E764" t="s">
        <v>27</v>
      </c>
      <c r="F764" t="s">
        <v>20</v>
      </c>
      <c r="G764">
        <v>2374.4299999999998</v>
      </c>
      <c r="H764">
        <v>1710.41</v>
      </c>
      <c r="I764">
        <v>664.02</v>
      </c>
      <c r="K764">
        <v>5</v>
      </c>
      <c r="L764" t="s">
        <v>29</v>
      </c>
      <c r="M764" t="s">
        <v>64</v>
      </c>
      <c r="N764">
        <v>2</v>
      </c>
      <c r="O764" t="s">
        <v>21</v>
      </c>
    </row>
    <row r="765" spans="1:15" x14ac:dyDescent="0.3">
      <c r="A765" t="s">
        <v>1362</v>
      </c>
      <c r="B765" s="3">
        <v>45425</v>
      </c>
      <c r="C765" t="s">
        <v>59</v>
      </c>
      <c r="D765" t="s">
        <v>308</v>
      </c>
      <c r="E765" t="s">
        <v>87</v>
      </c>
      <c r="F765" t="s">
        <v>36</v>
      </c>
      <c r="G765">
        <v>748.2</v>
      </c>
      <c r="H765">
        <v>591.54999999999995</v>
      </c>
      <c r="I765">
        <v>156.65</v>
      </c>
      <c r="J765">
        <v>6</v>
      </c>
      <c r="K765">
        <v>3</v>
      </c>
      <c r="L765" t="s">
        <v>22</v>
      </c>
      <c r="M765" t="s">
        <v>104</v>
      </c>
      <c r="N765">
        <v>2</v>
      </c>
      <c r="O765" t="s">
        <v>56</v>
      </c>
    </row>
    <row r="766" spans="1:15" x14ac:dyDescent="0.3">
      <c r="A766" t="s">
        <v>1363</v>
      </c>
      <c r="B766" s="3">
        <v>45443</v>
      </c>
      <c r="C766" t="s">
        <v>42</v>
      </c>
      <c r="D766" t="s">
        <v>162</v>
      </c>
      <c r="E766" t="s">
        <v>40</v>
      </c>
      <c r="F766" t="s">
        <v>20</v>
      </c>
      <c r="G766">
        <v>1034.82</v>
      </c>
      <c r="H766">
        <v>735.78</v>
      </c>
      <c r="I766">
        <v>299.04000000000002</v>
      </c>
      <c r="K766">
        <v>4</v>
      </c>
      <c r="L766" t="s">
        <v>22</v>
      </c>
      <c r="M766" t="s">
        <v>104</v>
      </c>
      <c r="N766">
        <v>2</v>
      </c>
      <c r="O766" t="s">
        <v>21</v>
      </c>
    </row>
    <row r="767" spans="1:15" x14ac:dyDescent="0.3">
      <c r="A767" t="s">
        <v>1364</v>
      </c>
      <c r="B767" s="3">
        <v>45610</v>
      </c>
      <c r="C767" t="s">
        <v>59</v>
      </c>
      <c r="D767" t="s">
        <v>301</v>
      </c>
      <c r="E767" t="s">
        <v>87</v>
      </c>
      <c r="F767" t="s">
        <v>36</v>
      </c>
      <c r="G767">
        <v>2603.48</v>
      </c>
      <c r="H767">
        <v>1785.03</v>
      </c>
      <c r="I767">
        <v>818.45</v>
      </c>
      <c r="K767">
        <v>5</v>
      </c>
      <c r="L767" t="s">
        <v>22</v>
      </c>
      <c r="M767" t="s">
        <v>111</v>
      </c>
      <c r="N767">
        <v>4</v>
      </c>
      <c r="O767" t="s">
        <v>21</v>
      </c>
    </row>
    <row r="768" spans="1:15" x14ac:dyDescent="0.3">
      <c r="A768" t="s">
        <v>1365</v>
      </c>
      <c r="B768" s="3">
        <v>45352</v>
      </c>
      <c r="C768" t="s">
        <v>33</v>
      </c>
      <c r="D768" t="s">
        <v>171</v>
      </c>
      <c r="E768" t="s">
        <v>40</v>
      </c>
      <c r="F768" t="s">
        <v>73</v>
      </c>
      <c r="G768">
        <v>3255.21</v>
      </c>
      <c r="H768">
        <v>1858.78</v>
      </c>
      <c r="I768">
        <v>1396.43</v>
      </c>
      <c r="K768">
        <v>4</v>
      </c>
      <c r="L768" t="s">
        <v>22</v>
      </c>
      <c r="M768" t="s">
        <v>76</v>
      </c>
      <c r="N768">
        <v>1</v>
      </c>
      <c r="O768" t="s">
        <v>21</v>
      </c>
    </row>
    <row r="769" spans="1:15" x14ac:dyDescent="0.3">
      <c r="A769" t="s">
        <v>1367</v>
      </c>
      <c r="B769" s="3">
        <v>45620</v>
      </c>
      <c r="C769" t="s">
        <v>59</v>
      </c>
      <c r="D769" t="s">
        <v>301</v>
      </c>
      <c r="E769" t="s">
        <v>40</v>
      </c>
      <c r="F769" t="s">
        <v>36</v>
      </c>
      <c r="G769">
        <v>3236.93</v>
      </c>
      <c r="H769">
        <v>2556.2800000000002</v>
      </c>
      <c r="I769">
        <v>680.65</v>
      </c>
      <c r="K769">
        <v>3</v>
      </c>
      <c r="L769" t="s">
        <v>22</v>
      </c>
      <c r="M769" t="s">
        <v>111</v>
      </c>
      <c r="N769">
        <v>4</v>
      </c>
      <c r="O769" t="s">
        <v>21</v>
      </c>
    </row>
    <row r="770" spans="1:15" x14ac:dyDescent="0.3">
      <c r="A770" t="s">
        <v>1369</v>
      </c>
      <c r="B770" s="3">
        <v>45559</v>
      </c>
      <c r="C770" t="s">
        <v>33</v>
      </c>
      <c r="D770" t="s">
        <v>34</v>
      </c>
      <c r="E770" t="s">
        <v>35</v>
      </c>
      <c r="F770" t="s">
        <v>36</v>
      </c>
      <c r="G770">
        <v>4147.79</v>
      </c>
      <c r="H770">
        <v>2481.25</v>
      </c>
      <c r="I770">
        <v>1666.54</v>
      </c>
      <c r="K770">
        <v>5</v>
      </c>
      <c r="L770" t="s">
        <v>29</v>
      </c>
      <c r="M770" t="s">
        <v>115</v>
      </c>
      <c r="N770">
        <v>3</v>
      </c>
      <c r="O770" t="s">
        <v>21</v>
      </c>
    </row>
    <row r="771" spans="1:15" x14ac:dyDescent="0.3">
      <c r="A771" t="s">
        <v>1370</v>
      </c>
      <c r="B771" s="3">
        <v>45562</v>
      </c>
      <c r="C771" t="s">
        <v>7</v>
      </c>
      <c r="D771" t="s">
        <v>55</v>
      </c>
      <c r="E771" t="s">
        <v>19</v>
      </c>
      <c r="F771" t="s">
        <v>36</v>
      </c>
      <c r="G771">
        <v>262.14999999999998</v>
      </c>
      <c r="H771">
        <v>164.25</v>
      </c>
      <c r="I771">
        <v>97.9</v>
      </c>
      <c r="K771">
        <v>3</v>
      </c>
      <c r="L771" t="s">
        <v>22</v>
      </c>
      <c r="M771" t="s">
        <v>115</v>
      </c>
      <c r="N771">
        <v>3</v>
      </c>
      <c r="O771" t="s">
        <v>21</v>
      </c>
    </row>
    <row r="772" spans="1:15" x14ac:dyDescent="0.3">
      <c r="A772" t="s">
        <v>1371</v>
      </c>
      <c r="B772" s="3">
        <v>45644</v>
      </c>
      <c r="C772" t="s">
        <v>7</v>
      </c>
      <c r="D772" t="s">
        <v>55</v>
      </c>
      <c r="E772" t="s">
        <v>40</v>
      </c>
      <c r="F772" t="s">
        <v>44</v>
      </c>
      <c r="G772">
        <v>1100.3900000000001</v>
      </c>
      <c r="H772">
        <v>713.44</v>
      </c>
      <c r="I772">
        <v>386.95</v>
      </c>
      <c r="K772">
        <v>5</v>
      </c>
      <c r="L772" t="s">
        <v>22</v>
      </c>
      <c r="M772" t="s">
        <v>179</v>
      </c>
      <c r="N772">
        <v>4</v>
      </c>
      <c r="O772" t="s">
        <v>21</v>
      </c>
    </row>
    <row r="773" spans="1:15" x14ac:dyDescent="0.3">
      <c r="A773" t="s">
        <v>1372</v>
      </c>
      <c r="B773" s="3">
        <v>45340</v>
      </c>
      <c r="C773" t="s">
        <v>33</v>
      </c>
      <c r="D773" t="s">
        <v>105</v>
      </c>
      <c r="E773" t="s">
        <v>35</v>
      </c>
      <c r="F773" t="s">
        <v>1374</v>
      </c>
      <c r="G773">
        <v>2244.92</v>
      </c>
      <c r="H773">
        <v>1559.62</v>
      </c>
      <c r="I773">
        <v>685.3</v>
      </c>
      <c r="K773">
        <v>4</v>
      </c>
      <c r="L773" t="s">
        <v>22</v>
      </c>
      <c r="M773" t="s">
        <v>124</v>
      </c>
      <c r="N773">
        <v>1</v>
      </c>
      <c r="O773" t="s">
        <v>21</v>
      </c>
    </row>
    <row r="774" spans="1:15" x14ac:dyDescent="0.3">
      <c r="A774" t="s">
        <v>1375</v>
      </c>
      <c r="B774" s="3">
        <v>45388</v>
      </c>
      <c r="C774" t="s">
        <v>59</v>
      </c>
      <c r="D774" t="s">
        <v>194</v>
      </c>
      <c r="E774" t="s">
        <v>27</v>
      </c>
      <c r="F774" t="s">
        <v>44</v>
      </c>
      <c r="G774">
        <v>1224.1600000000001</v>
      </c>
      <c r="H774">
        <v>719.85</v>
      </c>
      <c r="I774">
        <v>504.31</v>
      </c>
      <c r="K774">
        <v>4</v>
      </c>
      <c r="L774" t="s">
        <v>22</v>
      </c>
      <c r="M774" t="s">
        <v>16</v>
      </c>
      <c r="N774">
        <v>2</v>
      </c>
      <c r="O774" t="s">
        <v>21</v>
      </c>
    </row>
    <row r="775" spans="1:15" x14ac:dyDescent="0.3">
      <c r="A775" t="s">
        <v>1376</v>
      </c>
      <c r="B775" s="3">
        <v>45551</v>
      </c>
      <c r="C775" t="s">
        <v>7</v>
      </c>
      <c r="D775" t="s">
        <v>69</v>
      </c>
      <c r="E775" t="s">
        <v>19</v>
      </c>
      <c r="F775" t="s">
        <v>28</v>
      </c>
      <c r="G775">
        <v>511.32</v>
      </c>
      <c r="H775">
        <v>335.67</v>
      </c>
      <c r="I775">
        <v>175.65</v>
      </c>
      <c r="K775">
        <v>2</v>
      </c>
      <c r="L775" t="s">
        <v>22</v>
      </c>
      <c r="M775" t="s">
        <v>115</v>
      </c>
      <c r="N775">
        <v>3</v>
      </c>
      <c r="O775" t="s">
        <v>21</v>
      </c>
    </row>
    <row r="776" spans="1:15" x14ac:dyDescent="0.3">
      <c r="A776" t="s">
        <v>1378</v>
      </c>
      <c r="B776" s="3">
        <v>45296</v>
      </c>
      <c r="C776" t="s">
        <v>33</v>
      </c>
      <c r="D776" t="s">
        <v>105</v>
      </c>
      <c r="E776" t="s">
        <v>40</v>
      </c>
      <c r="F776" t="s">
        <v>73</v>
      </c>
      <c r="G776">
        <v>189.6</v>
      </c>
      <c r="H776">
        <v>114.27</v>
      </c>
      <c r="I776">
        <v>75.33</v>
      </c>
      <c r="K776">
        <v>4</v>
      </c>
      <c r="L776" t="s">
        <v>22</v>
      </c>
      <c r="M776" t="s">
        <v>25</v>
      </c>
      <c r="N776">
        <v>1</v>
      </c>
      <c r="O776" t="s">
        <v>21</v>
      </c>
    </row>
    <row r="777" spans="1:15" x14ac:dyDescent="0.3">
      <c r="A777" t="s">
        <v>1379</v>
      </c>
      <c r="B777" s="3">
        <v>45532</v>
      </c>
      <c r="C777" t="s">
        <v>7</v>
      </c>
      <c r="D777" t="s">
        <v>182</v>
      </c>
      <c r="E777" t="s">
        <v>27</v>
      </c>
      <c r="F777" t="s">
        <v>28</v>
      </c>
      <c r="G777">
        <v>881.7</v>
      </c>
      <c r="H777">
        <v>641.03</v>
      </c>
      <c r="I777">
        <v>240.67</v>
      </c>
      <c r="K777">
        <v>5</v>
      </c>
      <c r="L777" t="s">
        <v>22</v>
      </c>
      <c r="M777" t="s">
        <v>32</v>
      </c>
      <c r="N777">
        <v>3</v>
      </c>
      <c r="O777" t="s">
        <v>21</v>
      </c>
    </row>
    <row r="778" spans="1:15" x14ac:dyDescent="0.3">
      <c r="A778" t="s">
        <v>1380</v>
      </c>
      <c r="B778" s="3">
        <v>45553</v>
      </c>
      <c r="C778" t="s">
        <v>59</v>
      </c>
      <c r="D778" t="s">
        <v>490</v>
      </c>
      <c r="E778" t="s">
        <v>1716</v>
      </c>
      <c r="F778" t="s">
        <v>73</v>
      </c>
      <c r="G778">
        <v>1783.1</v>
      </c>
      <c r="H778">
        <v>1309.03</v>
      </c>
      <c r="I778">
        <v>474.07</v>
      </c>
      <c r="K778">
        <v>5</v>
      </c>
      <c r="L778" t="s">
        <v>29</v>
      </c>
      <c r="M778" t="s">
        <v>115</v>
      </c>
      <c r="N778">
        <v>3</v>
      </c>
      <c r="O778" t="s">
        <v>21</v>
      </c>
    </row>
    <row r="779" spans="1:15" x14ac:dyDescent="0.3">
      <c r="A779" t="s">
        <v>1381</v>
      </c>
      <c r="B779" s="3">
        <v>45506</v>
      </c>
      <c r="C779" t="s">
        <v>59</v>
      </c>
      <c r="D779" t="s">
        <v>60</v>
      </c>
      <c r="E779" t="s">
        <v>40</v>
      </c>
      <c r="F779" t="s">
        <v>20</v>
      </c>
      <c r="G779">
        <v>981.71</v>
      </c>
      <c r="H779">
        <v>752.31</v>
      </c>
      <c r="I779">
        <v>229.4</v>
      </c>
      <c r="K779">
        <v>5</v>
      </c>
      <c r="L779" t="s">
        <v>22</v>
      </c>
      <c r="M779" t="s">
        <v>32</v>
      </c>
      <c r="N779">
        <v>3</v>
      </c>
      <c r="O779" t="s">
        <v>21</v>
      </c>
    </row>
    <row r="780" spans="1:15" x14ac:dyDescent="0.3">
      <c r="A780" t="s">
        <v>1383</v>
      </c>
      <c r="B780" s="3">
        <v>45503</v>
      </c>
      <c r="C780" t="s">
        <v>17</v>
      </c>
      <c r="D780" t="s">
        <v>226</v>
      </c>
      <c r="E780" t="s">
        <v>35</v>
      </c>
      <c r="F780" t="s">
        <v>36</v>
      </c>
      <c r="G780">
        <v>873.88</v>
      </c>
      <c r="H780">
        <v>530.41</v>
      </c>
      <c r="I780">
        <v>343.47</v>
      </c>
      <c r="K780">
        <v>5</v>
      </c>
      <c r="L780" t="s">
        <v>22</v>
      </c>
      <c r="M780" t="s">
        <v>54</v>
      </c>
      <c r="N780">
        <v>3</v>
      </c>
      <c r="O780" t="s">
        <v>21</v>
      </c>
    </row>
    <row r="781" spans="1:15" x14ac:dyDescent="0.3">
      <c r="A781" t="s">
        <v>1384</v>
      </c>
      <c r="B781" s="3">
        <v>45541</v>
      </c>
      <c r="C781" t="s">
        <v>33</v>
      </c>
      <c r="D781" t="s">
        <v>105</v>
      </c>
      <c r="E781" t="s">
        <v>87</v>
      </c>
      <c r="F781" t="s">
        <v>20</v>
      </c>
      <c r="G781">
        <v>1601.92</v>
      </c>
      <c r="H781">
        <v>1086.8900000000001</v>
      </c>
      <c r="I781">
        <v>515.03</v>
      </c>
      <c r="K781">
        <v>5</v>
      </c>
      <c r="L781" t="s">
        <v>22</v>
      </c>
      <c r="M781" t="s">
        <v>115</v>
      </c>
      <c r="N781">
        <v>3</v>
      </c>
      <c r="O781" t="s">
        <v>21</v>
      </c>
    </row>
    <row r="782" spans="1:15" x14ac:dyDescent="0.3">
      <c r="A782" t="s">
        <v>1386</v>
      </c>
      <c r="B782" s="3">
        <v>45374</v>
      </c>
      <c r="C782" t="s">
        <v>59</v>
      </c>
      <c r="D782" t="s">
        <v>490</v>
      </c>
      <c r="E782" t="s">
        <v>40</v>
      </c>
      <c r="F782" t="s">
        <v>28</v>
      </c>
      <c r="G782">
        <v>2233.17</v>
      </c>
      <c r="H782">
        <v>1385.94</v>
      </c>
      <c r="I782">
        <v>847.23</v>
      </c>
      <c r="K782">
        <v>3</v>
      </c>
      <c r="L782" t="s">
        <v>22</v>
      </c>
      <c r="M782" t="s">
        <v>76</v>
      </c>
      <c r="N782">
        <v>1</v>
      </c>
      <c r="O782" t="s">
        <v>21</v>
      </c>
    </row>
    <row r="783" spans="1:15" x14ac:dyDescent="0.3">
      <c r="A783" t="s">
        <v>1387</v>
      </c>
      <c r="B783" s="3">
        <v>45316</v>
      </c>
      <c r="C783" t="s">
        <v>7</v>
      </c>
      <c r="D783" t="s">
        <v>134</v>
      </c>
      <c r="E783" t="s">
        <v>27</v>
      </c>
      <c r="F783" t="s">
        <v>28</v>
      </c>
      <c r="G783">
        <v>2460.66</v>
      </c>
      <c r="H783">
        <v>1609.75</v>
      </c>
      <c r="I783">
        <v>850.91</v>
      </c>
      <c r="J783">
        <v>3</v>
      </c>
      <c r="K783">
        <v>2</v>
      </c>
      <c r="L783" t="s">
        <v>22</v>
      </c>
      <c r="M783" t="s">
        <v>25</v>
      </c>
      <c r="N783">
        <v>1</v>
      </c>
      <c r="O783" t="s">
        <v>56</v>
      </c>
    </row>
    <row r="784" spans="1:15" x14ac:dyDescent="0.3">
      <c r="A784" t="s">
        <v>1388</v>
      </c>
      <c r="B784" s="3">
        <v>45344</v>
      </c>
      <c r="C784" t="s">
        <v>17</v>
      </c>
      <c r="D784" t="s">
        <v>26</v>
      </c>
      <c r="E784" t="s">
        <v>87</v>
      </c>
      <c r="F784" t="s">
        <v>73</v>
      </c>
      <c r="G784">
        <v>2261.87</v>
      </c>
      <c r="H784">
        <v>1647.26</v>
      </c>
      <c r="I784">
        <v>614.61</v>
      </c>
      <c r="K784">
        <v>4</v>
      </c>
      <c r="L784" t="s">
        <v>22</v>
      </c>
      <c r="M784" t="s">
        <v>124</v>
      </c>
      <c r="N784">
        <v>1</v>
      </c>
      <c r="O784" t="s">
        <v>21</v>
      </c>
    </row>
    <row r="785" spans="1:15" x14ac:dyDescent="0.3">
      <c r="A785" t="s">
        <v>1389</v>
      </c>
      <c r="B785" s="3">
        <v>45327</v>
      </c>
      <c r="C785" t="s">
        <v>7</v>
      </c>
      <c r="D785" t="s">
        <v>182</v>
      </c>
      <c r="E785" t="s">
        <v>87</v>
      </c>
      <c r="F785" t="s">
        <v>20</v>
      </c>
      <c r="G785">
        <v>3344.76</v>
      </c>
      <c r="H785">
        <v>1883.19</v>
      </c>
      <c r="I785">
        <v>1461.57</v>
      </c>
      <c r="K785">
        <v>3</v>
      </c>
      <c r="L785" t="s">
        <v>22</v>
      </c>
      <c r="M785" t="s">
        <v>124</v>
      </c>
      <c r="N785">
        <v>1</v>
      </c>
      <c r="O785" t="s">
        <v>21</v>
      </c>
    </row>
    <row r="786" spans="1:15" x14ac:dyDescent="0.3">
      <c r="A786" t="s">
        <v>1391</v>
      </c>
      <c r="B786" s="3">
        <v>45485</v>
      </c>
      <c r="C786" t="s">
        <v>42</v>
      </c>
      <c r="D786" t="s">
        <v>262</v>
      </c>
      <c r="E786" t="s">
        <v>27</v>
      </c>
      <c r="F786" t="s">
        <v>73</v>
      </c>
      <c r="G786">
        <v>397.78</v>
      </c>
      <c r="H786">
        <v>365.14</v>
      </c>
      <c r="I786">
        <v>32.64</v>
      </c>
      <c r="K786">
        <v>5</v>
      </c>
      <c r="L786" t="s">
        <v>22</v>
      </c>
      <c r="M786" t="s">
        <v>54</v>
      </c>
      <c r="N786">
        <v>3</v>
      </c>
      <c r="O786" t="s">
        <v>21</v>
      </c>
    </row>
    <row r="787" spans="1:15" x14ac:dyDescent="0.3">
      <c r="A787" t="s">
        <v>1392</v>
      </c>
      <c r="B787" s="3">
        <v>45408</v>
      </c>
      <c r="C787" t="s">
        <v>7</v>
      </c>
      <c r="D787" t="s">
        <v>69</v>
      </c>
      <c r="E787" t="s">
        <v>87</v>
      </c>
      <c r="F787" t="s">
        <v>36</v>
      </c>
      <c r="G787">
        <v>1200.1600000000001</v>
      </c>
      <c r="H787">
        <v>856.02</v>
      </c>
      <c r="I787">
        <v>344.14</v>
      </c>
      <c r="K787">
        <v>5</v>
      </c>
      <c r="L787" t="s">
        <v>22</v>
      </c>
      <c r="M787" t="s">
        <v>16</v>
      </c>
      <c r="N787">
        <v>2</v>
      </c>
      <c r="O787" t="s">
        <v>21</v>
      </c>
    </row>
    <row r="788" spans="1:15" x14ac:dyDescent="0.3">
      <c r="A788" t="s">
        <v>1394</v>
      </c>
      <c r="B788" s="3">
        <v>45327</v>
      </c>
      <c r="C788" t="s">
        <v>7</v>
      </c>
      <c r="D788" t="s">
        <v>182</v>
      </c>
      <c r="E788" t="s">
        <v>87</v>
      </c>
      <c r="F788" t="s">
        <v>28</v>
      </c>
      <c r="G788">
        <v>3426.25</v>
      </c>
      <c r="H788">
        <v>2340.73</v>
      </c>
      <c r="I788">
        <v>1085.52</v>
      </c>
      <c r="J788">
        <v>3</v>
      </c>
      <c r="K788">
        <v>2</v>
      </c>
      <c r="L788" t="s">
        <v>22</v>
      </c>
      <c r="M788" t="s">
        <v>124</v>
      </c>
      <c r="N788">
        <v>1</v>
      </c>
      <c r="O788" t="s">
        <v>56</v>
      </c>
    </row>
    <row r="789" spans="1:15" x14ac:dyDescent="0.3">
      <c r="A789" t="s">
        <v>1395</v>
      </c>
      <c r="B789" s="3">
        <v>45349</v>
      </c>
      <c r="C789" t="s">
        <v>42</v>
      </c>
      <c r="D789" t="s">
        <v>43</v>
      </c>
      <c r="E789" t="s">
        <v>40</v>
      </c>
      <c r="F789" t="s">
        <v>20</v>
      </c>
      <c r="G789">
        <v>3123.44</v>
      </c>
      <c r="H789">
        <v>2489.23</v>
      </c>
      <c r="I789">
        <v>634.21</v>
      </c>
      <c r="J789">
        <v>8</v>
      </c>
      <c r="K789">
        <v>3</v>
      </c>
      <c r="L789" t="s">
        <v>22</v>
      </c>
      <c r="M789" t="s">
        <v>124</v>
      </c>
      <c r="N789">
        <v>1</v>
      </c>
      <c r="O789" t="s">
        <v>56</v>
      </c>
    </row>
    <row r="790" spans="1:15" x14ac:dyDescent="0.3">
      <c r="A790" t="s">
        <v>1396</v>
      </c>
      <c r="B790" s="3">
        <v>45542</v>
      </c>
      <c r="C790" t="s">
        <v>17</v>
      </c>
      <c r="D790" t="s">
        <v>18</v>
      </c>
      <c r="E790" t="s">
        <v>27</v>
      </c>
      <c r="F790" t="s">
        <v>73</v>
      </c>
      <c r="G790">
        <v>1181.17</v>
      </c>
      <c r="H790">
        <v>941.25</v>
      </c>
      <c r="I790">
        <v>239.92</v>
      </c>
      <c r="K790">
        <v>4</v>
      </c>
      <c r="L790" t="s">
        <v>22</v>
      </c>
      <c r="M790" t="s">
        <v>115</v>
      </c>
      <c r="N790">
        <v>3</v>
      </c>
      <c r="O790" t="s">
        <v>56</v>
      </c>
    </row>
    <row r="791" spans="1:15" x14ac:dyDescent="0.3">
      <c r="A791" t="s">
        <v>1397</v>
      </c>
      <c r="B791" s="3">
        <v>45452</v>
      </c>
      <c r="C791" t="s">
        <v>42</v>
      </c>
      <c r="D791" t="s">
        <v>43</v>
      </c>
      <c r="E791" t="s">
        <v>19</v>
      </c>
      <c r="F791" t="s">
        <v>28</v>
      </c>
      <c r="G791">
        <v>2064.5500000000002</v>
      </c>
      <c r="H791">
        <v>1890.52</v>
      </c>
      <c r="I791">
        <v>174.03</v>
      </c>
      <c r="J791">
        <v>10</v>
      </c>
      <c r="K791">
        <v>3</v>
      </c>
      <c r="L791" t="s">
        <v>29</v>
      </c>
      <c r="M791" t="s">
        <v>64</v>
      </c>
      <c r="N791">
        <v>2</v>
      </c>
      <c r="O791" t="s">
        <v>56</v>
      </c>
    </row>
    <row r="792" spans="1:15" x14ac:dyDescent="0.3">
      <c r="A792" t="s">
        <v>1398</v>
      </c>
      <c r="B792" s="3">
        <v>45295</v>
      </c>
      <c r="C792" t="s">
        <v>33</v>
      </c>
      <c r="D792" t="s">
        <v>171</v>
      </c>
      <c r="E792" t="s">
        <v>84</v>
      </c>
      <c r="F792" t="s">
        <v>28</v>
      </c>
      <c r="G792">
        <v>2692</v>
      </c>
      <c r="H792">
        <v>1588.05</v>
      </c>
      <c r="I792">
        <v>1103.95</v>
      </c>
      <c r="K792">
        <v>5</v>
      </c>
      <c r="L792" t="s">
        <v>22</v>
      </c>
      <c r="M792" t="s">
        <v>25</v>
      </c>
      <c r="N792">
        <v>1</v>
      </c>
      <c r="O792" t="s">
        <v>21</v>
      </c>
    </row>
    <row r="793" spans="1:15" x14ac:dyDescent="0.3">
      <c r="A793" t="s">
        <v>1399</v>
      </c>
      <c r="B793" s="3">
        <v>45643</v>
      </c>
      <c r="C793" t="s">
        <v>17</v>
      </c>
      <c r="D793" t="s">
        <v>226</v>
      </c>
      <c r="E793" t="s">
        <v>19</v>
      </c>
      <c r="F793" t="s">
        <v>20</v>
      </c>
      <c r="G793">
        <v>1160.24</v>
      </c>
      <c r="H793">
        <v>875.27</v>
      </c>
      <c r="I793">
        <v>284.97000000000003</v>
      </c>
      <c r="K793">
        <v>4</v>
      </c>
      <c r="L793" t="s">
        <v>22</v>
      </c>
      <c r="M793" t="s">
        <v>179</v>
      </c>
      <c r="N793">
        <v>4</v>
      </c>
      <c r="O793" t="s">
        <v>21</v>
      </c>
    </row>
    <row r="794" spans="1:15" x14ac:dyDescent="0.3">
      <c r="A794" t="s">
        <v>1401</v>
      </c>
      <c r="B794" s="3">
        <v>45587</v>
      </c>
      <c r="C794" t="s">
        <v>59</v>
      </c>
      <c r="D794" t="s">
        <v>108</v>
      </c>
      <c r="E794" t="s">
        <v>19</v>
      </c>
      <c r="F794" t="s">
        <v>845</v>
      </c>
      <c r="G794">
        <v>1751.63</v>
      </c>
      <c r="H794">
        <v>1041.8599999999999</v>
      </c>
      <c r="I794">
        <v>709.77</v>
      </c>
      <c r="K794">
        <v>4</v>
      </c>
      <c r="L794" t="s">
        <v>22</v>
      </c>
      <c r="M794" t="s">
        <v>68</v>
      </c>
      <c r="N794">
        <v>4</v>
      </c>
      <c r="O794" t="s">
        <v>21</v>
      </c>
    </row>
    <row r="795" spans="1:15" x14ac:dyDescent="0.3">
      <c r="A795" t="s">
        <v>1402</v>
      </c>
      <c r="B795" s="3">
        <v>45548</v>
      </c>
      <c r="C795" t="s">
        <v>7</v>
      </c>
      <c r="D795" t="s">
        <v>131</v>
      </c>
      <c r="E795" t="s">
        <v>87</v>
      </c>
      <c r="F795" t="s">
        <v>36</v>
      </c>
      <c r="G795">
        <v>865.33</v>
      </c>
      <c r="H795">
        <v>513.27</v>
      </c>
      <c r="I795">
        <v>352.06</v>
      </c>
      <c r="K795">
        <v>4</v>
      </c>
      <c r="L795" t="s">
        <v>29</v>
      </c>
      <c r="M795" t="s">
        <v>115</v>
      </c>
      <c r="N795">
        <v>3</v>
      </c>
      <c r="O795" t="s">
        <v>21</v>
      </c>
    </row>
    <row r="796" spans="1:15" x14ac:dyDescent="0.3">
      <c r="A796" t="s">
        <v>1404</v>
      </c>
      <c r="B796" s="3">
        <v>45449</v>
      </c>
      <c r="C796" t="s">
        <v>7</v>
      </c>
      <c r="D796" t="s">
        <v>1698</v>
      </c>
      <c r="E796" t="s">
        <v>40</v>
      </c>
      <c r="F796" t="s">
        <v>28</v>
      </c>
      <c r="G796">
        <v>2779.34</v>
      </c>
      <c r="H796">
        <v>1855.87</v>
      </c>
      <c r="I796">
        <v>923.47</v>
      </c>
      <c r="J796">
        <v>3</v>
      </c>
      <c r="K796">
        <v>2</v>
      </c>
      <c r="L796" t="s">
        <v>22</v>
      </c>
      <c r="M796" t="s">
        <v>64</v>
      </c>
      <c r="N796">
        <v>2</v>
      </c>
      <c r="O796" t="s">
        <v>56</v>
      </c>
    </row>
    <row r="797" spans="1:15" x14ac:dyDescent="0.3">
      <c r="A797" t="s">
        <v>1405</v>
      </c>
      <c r="B797" s="3">
        <v>45576</v>
      </c>
      <c r="C797" t="s">
        <v>42</v>
      </c>
      <c r="D797" t="s">
        <v>262</v>
      </c>
      <c r="E797" t="s">
        <v>27</v>
      </c>
      <c r="F797" t="s">
        <v>73</v>
      </c>
      <c r="G797">
        <v>2689.85</v>
      </c>
      <c r="H797">
        <v>2291.5700000000002</v>
      </c>
      <c r="I797">
        <v>398.28</v>
      </c>
      <c r="K797">
        <v>4</v>
      </c>
      <c r="L797" t="s">
        <v>22</v>
      </c>
      <c r="M797" t="s">
        <v>68</v>
      </c>
      <c r="N797">
        <v>4</v>
      </c>
      <c r="O797" t="s">
        <v>21</v>
      </c>
    </row>
    <row r="798" spans="1:15" x14ac:dyDescent="0.3">
      <c r="A798" t="s">
        <v>1406</v>
      </c>
      <c r="B798" s="3">
        <v>45381</v>
      </c>
      <c r="C798" t="s">
        <v>33</v>
      </c>
      <c r="D798" t="s">
        <v>93</v>
      </c>
      <c r="E798" t="s">
        <v>35</v>
      </c>
      <c r="F798" t="s">
        <v>20</v>
      </c>
      <c r="G798">
        <v>2247.08</v>
      </c>
      <c r="H798">
        <v>1475.88</v>
      </c>
      <c r="I798">
        <v>771.2</v>
      </c>
      <c r="J798">
        <v>10</v>
      </c>
      <c r="K798">
        <v>3</v>
      </c>
      <c r="L798" t="s">
        <v>22</v>
      </c>
      <c r="M798" t="s">
        <v>76</v>
      </c>
      <c r="N798">
        <v>1</v>
      </c>
      <c r="O798" t="s">
        <v>56</v>
      </c>
    </row>
    <row r="799" spans="1:15" x14ac:dyDescent="0.3">
      <c r="A799" t="s">
        <v>1407</v>
      </c>
      <c r="B799" s="3">
        <v>45467</v>
      </c>
      <c r="C799" t="s">
        <v>33</v>
      </c>
      <c r="D799" t="s">
        <v>105</v>
      </c>
      <c r="E799" t="s">
        <v>35</v>
      </c>
      <c r="F799" t="s">
        <v>299</v>
      </c>
      <c r="G799">
        <v>726.89</v>
      </c>
      <c r="H799">
        <v>455.16</v>
      </c>
      <c r="I799">
        <v>271.73</v>
      </c>
      <c r="J799">
        <v>5</v>
      </c>
      <c r="K799">
        <v>2</v>
      </c>
      <c r="L799" t="s">
        <v>29</v>
      </c>
      <c r="M799" t="s">
        <v>64</v>
      </c>
      <c r="N799">
        <v>2</v>
      </c>
      <c r="O799" t="s">
        <v>56</v>
      </c>
    </row>
    <row r="800" spans="1:15" x14ac:dyDescent="0.3">
      <c r="A800" t="s">
        <v>1408</v>
      </c>
      <c r="B800" s="3">
        <v>45427</v>
      </c>
      <c r="C800" t="s">
        <v>7</v>
      </c>
      <c r="D800" t="s">
        <v>65</v>
      </c>
      <c r="E800" t="s">
        <v>19</v>
      </c>
      <c r="F800" t="s">
        <v>20</v>
      </c>
      <c r="G800">
        <v>2586.25</v>
      </c>
      <c r="H800">
        <v>1931.29</v>
      </c>
      <c r="I800">
        <v>654.96</v>
      </c>
      <c r="K800">
        <v>5</v>
      </c>
      <c r="L800" t="s">
        <v>22</v>
      </c>
      <c r="M800" t="s">
        <v>104</v>
      </c>
      <c r="N800">
        <v>2</v>
      </c>
      <c r="O800" t="s">
        <v>21</v>
      </c>
    </row>
    <row r="801" spans="1:15" x14ac:dyDescent="0.3">
      <c r="A801" t="s">
        <v>1409</v>
      </c>
      <c r="B801" s="3">
        <v>45630</v>
      </c>
      <c r="C801" t="s">
        <v>7</v>
      </c>
      <c r="D801" t="s">
        <v>128</v>
      </c>
      <c r="E801" t="s">
        <v>19</v>
      </c>
      <c r="F801" t="s">
        <v>28</v>
      </c>
      <c r="G801">
        <v>993.02</v>
      </c>
      <c r="H801">
        <v>730.83</v>
      </c>
      <c r="I801">
        <v>262.19</v>
      </c>
      <c r="K801">
        <v>3</v>
      </c>
      <c r="L801" t="s">
        <v>22</v>
      </c>
      <c r="M801" t="s">
        <v>179</v>
      </c>
      <c r="N801">
        <v>4</v>
      </c>
      <c r="O801" t="s">
        <v>21</v>
      </c>
    </row>
    <row r="802" spans="1:15" x14ac:dyDescent="0.3">
      <c r="A802" t="s">
        <v>1410</v>
      </c>
      <c r="B802" s="3">
        <v>45475</v>
      </c>
      <c r="C802" t="s">
        <v>33</v>
      </c>
      <c r="D802" t="s">
        <v>297</v>
      </c>
      <c r="E802" t="s">
        <v>19</v>
      </c>
      <c r="F802" t="s">
        <v>73</v>
      </c>
      <c r="G802">
        <v>1974.08</v>
      </c>
      <c r="H802">
        <v>1158.0999999999999</v>
      </c>
      <c r="I802">
        <v>815.98</v>
      </c>
      <c r="J802">
        <v>7</v>
      </c>
      <c r="K802">
        <v>2</v>
      </c>
      <c r="L802" t="s">
        <v>22</v>
      </c>
      <c r="M802" t="s">
        <v>54</v>
      </c>
      <c r="N802">
        <v>3</v>
      </c>
      <c r="O802" t="s">
        <v>56</v>
      </c>
    </row>
    <row r="803" spans="1:15" x14ac:dyDescent="0.3">
      <c r="A803" t="s">
        <v>1411</v>
      </c>
      <c r="B803" s="3">
        <v>45501</v>
      </c>
      <c r="C803" t="s">
        <v>7</v>
      </c>
      <c r="D803" t="s">
        <v>55</v>
      </c>
      <c r="E803" t="s">
        <v>27</v>
      </c>
      <c r="F803" t="s">
        <v>36</v>
      </c>
      <c r="G803">
        <v>1870.71</v>
      </c>
      <c r="H803">
        <v>1265.3699999999999</v>
      </c>
      <c r="I803">
        <v>605.34</v>
      </c>
      <c r="K803">
        <v>4</v>
      </c>
      <c r="L803" t="s">
        <v>22</v>
      </c>
      <c r="M803" t="s">
        <v>54</v>
      </c>
      <c r="N803">
        <v>3</v>
      </c>
      <c r="O803" t="s">
        <v>21</v>
      </c>
    </row>
    <row r="804" spans="1:15" x14ac:dyDescent="0.3">
      <c r="A804" t="s">
        <v>1413</v>
      </c>
      <c r="B804" s="3">
        <v>45352</v>
      </c>
      <c r="C804" t="s">
        <v>59</v>
      </c>
      <c r="D804" t="s">
        <v>155</v>
      </c>
      <c r="E804" t="s">
        <v>84</v>
      </c>
      <c r="F804" t="s">
        <v>73</v>
      </c>
      <c r="G804">
        <v>3201.34</v>
      </c>
      <c r="H804">
        <v>1814.93</v>
      </c>
      <c r="I804">
        <v>1386.41</v>
      </c>
      <c r="K804">
        <v>5</v>
      </c>
      <c r="L804" t="s">
        <v>29</v>
      </c>
      <c r="M804" t="s">
        <v>76</v>
      </c>
      <c r="N804">
        <v>1</v>
      </c>
      <c r="O804" t="s">
        <v>21</v>
      </c>
    </row>
    <row r="805" spans="1:15" x14ac:dyDescent="0.3">
      <c r="A805" t="s">
        <v>1415</v>
      </c>
      <c r="B805" s="3">
        <v>45389</v>
      </c>
      <c r="C805" t="s">
        <v>33</v>
      </c>
      <c r="D805" t="s">
        <v>105</v>
      </c>
      <c r="E805" t="s">
        <v>40</v>
      </c>
      <c r="F805" t="s">
        <v>36</v>
      </c>
      <c r="G805">
        <v>2230.6</v>
      </c>
      <c r="H805">
        <v>1496.41</v>
      </c>
      <c r="I805">
        <v>734.19</v>
      </c>
      <c r="K805">
        <v>5</v>
      </c>
      <c r="L805" t="s">
        <v>22</v>
      </c>
      <c r="M805" t="s">
        <v>16</v>
      </c>
      <c r="N805">
        <v>2</v>
      </c>
      <c r="O805" t="s">
        <v>21</v>
      </c>
    </row>
    <row r="806" spans="1:15" x14ac:dyDescent="0.3">
      <c r="A806" t="s">
        <v>1416</v>
      </c>
      <c r="B806" s="3">
        <v>45384</v>
      </c>
      <c r="C806" t="s">
        <v>17</v>
      </c>
      <c r="D806" t="s">
        <v>51</v>
      </c>
      <c r="E806" t="s">
        <v>19</v>
      </c>
      <c r="F806" t="s">
        <v>73</v>
      </c>
      <c r="G806">
        <v>2759.45</v>
      </c>
      <c r="H806">
        <v>1854.06</v>
      </c>
      <c r="I806">
        <v>905.39</v>
      </c>
      <c r="K806">
        <v>4</v>
      </c>
      <c r="L806" t="s">
        <v>22</v>
      </c>
      <c r="M806" t="s">
        <v>16</v>
      </c>
      <c r="N806">
        <v>2</v>
      </c>
      <c r="O806" t="s">
        <v>21</v>
      </c>
    </row>
    <row r="807" spans="1:15" x14ac:dyDescent="0.3">
      <c r="A807" t="s">
        <v>1417</v>
      </c>
      <c r="B807" s="3">
        <v>45562</v>
      </c>
      <c r="C807" t="s">
        <v>17</v>
      </c>
      <c r="D807" t="s">
        <v>100</v>
      </c>
      <c r="E807" t="s">
        <v>35</v>
      </c>
      <c r="F807" t="s">
        <v>28</v>
      </c>
      <c r="G807">
        <v>2823.99</v>
      </c>
      <c r="H807">
        <v>1981.81</v>
      </c>
      <c r="I807">
        <v>842.18</v>
      </c>
      <c r="K807">
        <v>4</v>
      </c>
      <c r="L807" t="s">
        <v>22</v>
      </c>
      <c r="M807" t="s">
        <v>115</v>
      </c>
      <c r="N807">
        <v>3</v>
      </c>
      <c r="O807" t="s">
        <v>21</v>
      </c>
    </row>
    <row r="808" spans="1:15" x14ac:dyDescent="0.3">
      <c r="A808" t="s">
        <v>1419</v>
      </c>
      <c r="B808" s="3">
        <v>45454</v>
      </c>
      <c r="C808" t="s">
        <v>42</v>
      </c>
      <c r="D808" t="s">
        <v>214</v>
      </c>
      <c r="E808" t="s">
        <v>19</v>
      </c>
      <c r="F808" t="s">
        <v>28</v>
      </c>
      <c r="G808">
        <v>1154.1099999999999</v>
      </c>
      <c r="H808">
        <v>1009.56</v>
      </c>
      <c r="I808">
        <v>144.55000000000001</v>
      </c>
      <c r="K808">
        <v>5</v>
      </c>
      <c r="L808" t="s">
        <v>22</v>
      </c>
      <c r="M808" t="s">
        <v>64</v>
      </c>
      <c r="N808">
        <v>2</v>
      </c>
      <c r="O808" t="s">
        <v>21</v>
      </c>
    </row>
    <row r="809" spans="1:15" x14ac:dyDescent="0.3">
      <c r="A809" t="s">
        <v>1421</v>
      </c>
      <c r="B809" s="3">
        <v>45603</v>
      </c>
      <c r="C809" t="s">
        <v>59</v>
      </c>
      <c r="D809" t="s">
        <v>194</v>
      </c>
      <c r="E809" t="s">
        <v>40</v>
      </c>
      <c r="F809" t="s">
        <v>73</v>
      </c>
      <c r="G809">
        <v>446.07</v>
      </c>
      <c r="H809">
        <v>342.5</v>
      </c>
      <c r="I809">
        <v>103.57</v>
      </c>
      <c r="K809">
        <v>3</v>
      </c>
      <c r="L809" t="s">
        <v>22</v>
      </c>
      <c r="M809" t="s">
        <v>111</v>
      </c>
      <c r="N809">
        <v>4</v>
      </c>
      <c r="O809" t="s">
        <v>21</v>
      </c>
    </row>
    <row r="810" spans="1:15" x14ac:dyDescent="0.3">
      <c r="A810" t="s">
        <v>1423</v>
      </c>
      <c r="B810" s="3">
        <v>45417</v>
      </c>
      <c r="C810" t="s">
        <v>33</v>
      </c>
      <c r="D810" t="s">
        <v>105</v>
      </c>
      <c r="E810" t="s">
        <v>84</v>
      </c>
      <c r="F810" t="s">
        <v>20</v>
      </c>
      <c r="G810">
        <v>1914.93</v>
      </c>
      <c r="H810">
        <v>1181.29</v>
      </c>
      <c r="I810">
        <v>733.64</v>
      </c>
      <c r="J810">
        <v>8</v>
      </c>
      <c r="K810">
        <v>2</v>
      </c>
      <c r="L810" t="s">
        <v>29</v>
      </c>
      <c r="M810" t="s">
        <v>104</v>
      </c>
      <c r="N810">
        <v>2</v>
      </c>
      <c r="O810" t="s">
        <v>56</v>
      </c>
    </row>
    <row r="811" spans="1:15" x14ac:dyDescent="0.3">
      <c r="A811" t="s">
        <v>1425</v>
      </c>
      <c r="B811" s="3">
        <v>45469</v>
      </c>
      <c r="C811" t="s">
        <v>7</v>
      </c>
      <c r="D811" t="s">
        <v>128</v>
      </c>
      <c r="E811" t="s">
        <v>35</v>
      </c>
      <c r="F811" t="s">
        <v>28</v>
      </c>
      <c r="G811">
        <v>1934.7</v>
      </c>
      <c r="H811">
        <v>1384.05</v>
      </c>
      <c r="I811">
        <v>550.65</v>
      </c>
      <c r="K811">
        <v>5</v>
      </c>
      <c r="L811" t="s">
        <v>22</v>
      </c>
      <c r="M811" t="s">
        <v>64</v>
      </c>
      <c r="N811">
        <v>2</v>
      </c>
      <c r="O811" t="s">
        <v>21</v>
      </c>
    </row>
    <row r="812" spans="1:15" x14ac:dyDescent="0.3">
      <c r="A812" t="s">
        <v>1427</v>
      </c>
      <c r="B812" s="3">
        <v>45581</v>
      </c>
      <c r="C812" t="s">
        <v>33</v>
      </c>
      <c r="D812" t="s">
        <v>205</v>
      </c>
      <c r="E812" t="s">
        <v>40</v>
      </c>
      <c r="F812" t="s">
        <v>28</v>
      </c>
      <c r="G812">
        <v>2304.02</v>
      </c>
      <c r="H812">
        <v>1835.46</v>
      </c>
      <c r="I812">
        <v>468.56</v>
      </c>
      <c r="K812">
        <v>3</v>
      </c>
      <c r="L812" t="s">
        <v>29</v>
      </c>
      <c r="M812" t="s">
        <v>68</v>
      </c>
      <c r="N812">
        <v>4</v>
      </c>
      <c r="O812" t="s">
        <v>21</v>
      </c>
    </row>
    <row r="813" spans="1:15" x14ac:dyDescent="0.3">
      <c r="A813" t="s">
        <v>1430</v>
      </c>
      <c r="B813" s="3">
        <v>45490</v>
      </c>
      <c r="C813" t="s">
        <v>42</v>
      </c>
      <c r="D813" t="s">
        <v>80</v>
      </c>
      <c r="E813" t="s">
        <v>40</v>
      </c>
      <c r="F813" t="s">
        <v>73</v>
      </c>
      <c r="G813">
        <v>1746.07</v>
      </c>
      <c r="H813">
        <v>1438.54</v>
      </c>
      <c r="I813">
        <v>307.52999999999997</v>
      </c>
      <c r="J813">
        <v>12</v>
      </c>
      <c r="K813">
        <v>1</v>
      </c>
      <c r="L813" t="s">
        <v>22</v>
      </c>
      <c r="M813" t="s">
        <v>54</v>
      </c>
      <c r="N813">
        <v>3</v>
      </c>
      <c r="O813" t="s">
        <v>56</v>
      </c>
    </row>
    <row r="814" spans="1:15" x14ac:dyDescent="0.3">
      <c r="A814" t="s">
        <v>1432</v>
      </c>
      <c r="B814" s="3">
        <v>45509</v>
      </c>
      <c r="C814" t="s">
        <v>59</v>
      </c>
      <c r="D814" t="s">
        <v>490</v>
      </c>
      <c r="E814" t="s">
        <v>87</v>
      </c>
      <c r="F814" t="s">
        <v>28</v>
      </c>
      <c r="G814">
        <v>1931.23</v>
      </c>
      <c r="H814">
        <v>1247.32</v>
      </c>
      <c r="I814">
        <v>683.91</v>
      </c>
      <c r="J814">
        <v>5</v>
      </c>
      <c r="K814">
        <v>1</v>
      </c>
      <c r="L814" t="s">
        <v>22</v>
      </c>
      <c r="M814" t="s">
        <v>32</v>
      </c>
      <c r="N814">
        <v>3</v>
      </c>
      <c r="O814" t="s">
        <v>56</v>
      </c>
    </row>
    <row r="815" spans="1:15" x14ac:dyDescent="0.3">
      <c r="A815" t="s">
        <v>1433</v>
      </c>
      <c r="B815" s="3">
        <v>45605</v>
      </c>
      <c r="C815" t="s">
        <v>7</v>
      </c>
      <c r="D815" t="s">
        <v>65</v>
      </c>
      <c r="E815" t="s">
        <v>84</v>
      </c>
      <c r="F815" t="s">
        <v>20</v>
      </c>
      <c r="G815">
        <v>547.91</v>
      </c>
      <c r="H815">
        <v>411.67</v>
      </c>
      <c r="I815">
        <v>136.24</v>
      </c>
      <c r="J815">
        <v>3</v>
      </c>
      <c r="K815">
        <v>3</v>
      </c>
      <c r="L815" t="s">
        <v>22</v>
      </c>
      <c r="M815" t="s">
        <v>111</v>
      </c>
      <c r="N815">
        <v>4</v>
      </c>
      <c r="O815" t="s">
        <v>56</v>
      </c>
    </row>
    <row r="816" spans="1:15" x14ac:dyDescent="0.3">
      <c r="A816" t="s">
        <v>1434</v>
      </c>
      <c r="B816" s="3">
        <v>45447</v>
      </c>
      <c r="C816" t="s">
        <v>59</v>
      </c>
      <c r="D816" t="s">
        <v>1698</v>
      </c>
      <c r="E816" t="s">
        <v>19</v>
      </c>
      <c r="F816" t="s">
        <v>28</v>
      </c>
      <c r="G816">
        <v>2914.53</v>
      </c>
      <c r="H816">
        <v>1997.89</v>
      </c>
      <c r="I816">
        <v>916.64</v>
      </c>
      <c r="K816">
        <v>1</v>
      </c>
      <c r="L816" t="s">
        <v>22</v>
      </c>
      <c r="M816" t="s">
        <v>64</v>
      </c>
      <c r="N816">
        <v>2</v>
      </c>
      <c r="O816" t="s">
        <v>21</v>
      </c>
    </row>
    <row r="817" spans="1:15" x14ac:dyDescent="0.3">
      <c r="A817" t="s">
        <v>1436</v>
      </c>
      <c r="B817" s="3">
        <v>45472</v>
      </c>
      <c r="C817" t="s">
        <v>7</v>
      </c>
      <c r="D817" t="s">
        <v>182</v>
      </c>
      <c r="E817" t="s">
        <v>84</v>
      </c>
      <c r="F817" t="s">
        <v>44</v>
      </c>
      <c r="G817">
        <v>497.06</v>
      </c>
      <c r="H817">
        <v>336.44</v>
      </c>
      <c r="I817">
        <v>160.62</v>
      </c>
      <c r="K817">
        <v>3</v>
      </c>
      <c r="L817" t="s">
        <v>22</v>
      </c>
      <c r="M817" t="s">
        <v>64</v>
      </c>
      <c r="N817">
        <v>2</v>
      </c>
      <c r="O817" t="s">
        <v>21</v>
      </c>
    </row>
    <row r="818" spans="1:15" x14ac:dyDescent="0.3">
      <c r="A818" t="s">
        <v>1437</v>
      </c>
      <c r="B818" s="3">
        <v>45383</v>
      </c>
      <c r="C818" t="s">
        <v>59</v>
      </c>
      <c r="D818" t="s">
        <v>308</v>
      </c>
      <c r="E818" t="s">
        <v>87</v>
      </c>
      <c r="F818" t="s">
        <v>44</v>
      </c>
      <c r="G818">
        <v>1746.46</v>
      </c>
      <c r="H818">
        <v>1114.9100000000001</v>
      </c>
      <c r="I818">
        <v>631.54999999999995</v>
      </c>
      <c r="K818">
        <v>5</v>
      </c>
      <c r="L818" t="s">
        <v>22</v>
      </c>
      <c r="M818" t="s">
        <v>16</v>
      </c>
      <c r="N818">
        <v>2</v>
      </c>
      <c r="O818" t="s">
        <v>21</v>
      </c>
    </row>
    <row r="819" spans="1:15" x14ac:dyDescent="0.3">
      <c r="A819" t="s">
        <v>1438</v>
      </c>
      <c r="B819" s="3">
        <v>45326</v>
      </c>
      <c r="C819" t="s">
        <v>7</v>
      </c>
      <c r="D819" t="s">
        <v>65</v>
      </c>
      <c r="E819" t="s">
        <v>40</v>
      </c>
      <c r="F819" t="s">
        <v>36</v>
      </c>
      <c r="G819">
        <v>1431.96</v>
      </c>
      <c r="H819">
        <v>1069.9100000000001</v>
      </c>
      <c r="I819">
        <v>362.05</v>
      </c>
      <c r="K819">
        <v>4</v>
      </c>
      <c r="L819" t="s">
        <v>22</v>
      </c>
      <c r="M819" t="s">
        <v>124</v>
      </c>
      <c r="N819">
        <v>1</v>
      </c>
      <c r="O819" t="s">
        <v>21</v>
      </c>
    </row>
    <row r="820" spans="1:15" x14ac:dyDescent="0.3">
      <c r="A820" t="s">
        <v>1439</v>
      </c>
      <c r="B820" s="3">
        <v>45633</v>
      </c>
      <c r="C820" t="s">
        <v>33</v>
      </c>
      <c r="D820" t="s">
        <v>105</v>
      </c>
      <c r="E820" t="s">
        <v>35</v>
      </c>
      <c r="F820" t="s">
        <v>73</v>
      </c>
      <c r="G820">
        <v>3022.15</v>
      </c>
      <c r="H820">
        <v>1849.95</v>
      </c>
      <c r="I820">
        <v>1172.2</v>
      </c>
      <c r="K820">
        <v>5</v>
      </c>
      <c r="L820" t="s">
        <v>22</v>
      </c>
      <c r="M820" t="s">
        <v>179</v>
      </c>
      <c r="N820">
        <v>4</v>
      </c>
      <c r="O820" t="s">
        <v>21</v>
      </c>
    </row>
    <row r="821" spans="1:15" x14ac:dyDescent="0.3">
      <c r="A821" t="s">
        <v>1441</v>
      </c>
      <c r="B821" s="3">
        <v>45509</v>
      </c>
      <c r="C821" t="s">
        <v>42</v>
      </c>
      <c r="D821" t="s">
        <v>43</v>
      </c>
      <c r="E821" t="s">
        <v>84</v>
      </c>
      <c r="F821" t="s">
        <v>20</v>
      </c>
      <c r="G821">
        <v>867.82</v>
      </c>
      <c r="H821">
        <v>650.91999999999996</v>
      </c>
      <c r="I821">
        <v>216.9</v>
      </c>
      <c r="K821">
        <v>4</v>
      </c>
      <c r="L821" t="s">
        <v>22</v>
      </c>
      <c r="M821" t="s">
        <v>32</v>
      </c>
      <c r="N821">
        <v>3</v>
      </c>
      <c r="O821" t="s">
        <v>21</v>
      </c>
    </row>
    <row r="822" spans="1:15" x14ac:dyDescent="0.3">
      <c r="A822" t="s">
        <v>1442</v>
      </c>
      <c r="B822" s="3">
        <v>45484</v>
      </c>
      <c r="C822" t="s">
        <v>59</v>
      </c>
      <c r="D822" t="s">
        <v>60</v>
      </c>
      <c r="E822" t="s">
        <v>35</v>
      </c>
      <c r="F822" t="s">
        <v>36</v>
      </c>
      <c r="G822">
        <v>875.64</v>
      </c>
      <c r="H822">
        <v>633.27</v>
      </c>
      <c r="I822">
        <v>242.37</v>
      </c>
      <c r="K822">
        <v>5</v>
      </c>
      <c r="L822" t="s">
        <v>22</v>
      </c>
      <c r="M822" t="s">
        <v>54</v>
      </c>
      <c r="N822">
        <v>3</v>
      </c>
      <c r="O822" t="s">
        <v>21</v>
      </c>
    </row>
    <row r="823" spans="1:15" x14ac:dyDescent="0.3">
      <c r="A823" t="s">
        <v>1443</v>
      </c>
      <c r="B823" s="3">
        <v>45653</v>
      </c>
      <c r="C823" t="s">
        <v>42</v>
      </c>
      <c r="D823" t="s">
        <v>77</v>
      </c>
      <c r="E823" t="s">
        <v>27</v>
      </c>
      <c r="F823" t="s">
        <v>44</v>
      </c>
      <c r="G823">
        <v>1683.59</v>
      </c>
      <c r="H823">
        <v>1341.1</v>
      </c>
      <c r="I823">
        <v>342.49</v>
      </c>
      <c r="K823">
        <v>4</v>
      </c>
      <c r="L823" t="s">
        <v>22</v>
      </c>
      <c r="M823" t="s">
        <v>179</v>
      </c>
      <c r="N823">
        <v>4</v>
      </c>
      <c r="O823" t="s">
        <v>21</v>
      </c>
    </row>
    <row r="824" spans="1:15" x14ac:dyDescent="0.3">
      <c r="A824" t="s">
        <v>1445</v>
      </c>
      <c r="B824" s="3">
        <v>45547</v>
      </c>
      <c r="C824" t="s">
        <v>33</v>
      </c>
      <c r="D824" t="s">
        <v>34</v>
      </c>
      <c r="E824" t="s">
        <v>19</v>
      </c>
      <c r="F824" t="s">
        <v>44</v>
      </c>
      <c r="G824">
        <v>1530.17</v>
      </c>
      <c r="H824">
        <v>1052.26</v>
      </c>
      <c r="I824">
        <v>477.91</v>
      </c>
      <c r="J824">
        <v>7</v>
      </c>
      <c r="K824">
        <v>1</v>
      </c>
      <c r="L824" t="s">
        <v>22</v>
      </c>
      <c r="M824" t="s">
        <v>115</v>
      </c>
      <c r="N824">
        <v>3</v>
      </c>
      <c r="O824" t="s">
        <v>56</v>
      </c>
    </row>
    <row r="825" spans="1:15" x14ac:dyDescent="0.3">
      <c r="A825" t="s">
        <v>1447</v>
      </c>
      <c r="B825" s="3">
        <v>45577</v>
      </c>
      <c r="C825" t="s">
        <v>17</v>
      </c>
      <c r="D825" t="s">
        <v>100</v>
      </c>
      <c r="E825" t="s">
        <v>19</v>
      </c>
      <c r="F825" t="s">
        <v>73</v>
      </c>
      <c r="G825">
        <v>1766.27</v>
      </c>
      <c r="H825">
        <v>1134.92</v>
      </c>
      <c r="I825">
        <v>631.35</v>
      </c>
      <c r="L825" t="s">
        <v>22</v>
      </c>
      <c r="M825" t="s">
        <v>68</v>
      </c>
      <c r="N825">
        <v>4</v>
      </c>
      <c r="O825" t="s">
        <v>21</v>
      </c>
    </row>
    <row r="826" spans="1:15" x14ac:dyDescent="0.3">
      <c r="A826" t="s">
        <v>1449</v>
      </c>
      <c r="B826" s="3">
        <v>45385</v>
      </c>
      <c r="C826" t="s">
        <v>7</v>
      </c>
      <c r="D826" t="s">
        <v>185</v>
      </c>
      <c r="E826" t="s">
        <v>40</v>
      </c>
      <c r="F826" t="s">
        <v>44</v>
      </c>
      <c r="G826">
        <v>1611.41</v>
      </c>
      <c r="H826">
        <v>930.1</v>
      </c>
      <c r="I826">
        <v>681.31</v>
      </c>
      <c r="K826">
        <v>5</v>
      </c>
      <c r="L826" t="s">
        <v>22</v>
      </c>
      <c r="M826" t="s">
        <v>16</v>
      </c>
      <c r="N826">
        <v>2</v>
      </c>
      <c r="O826" t="s">
        <v>21</v>
      </c>
    </row>
    <row r="827" spans="1:15" x14ac:dyDescent="0.3">
      <c r="A827" t="s">
        <v>1451</v>
      </c>
      <c r="B827" s="3">
        <v>45453</v>
      </c>
      <c r="C827" t="s">
        <v>7</v>
      </c>
      <c r="D827" t="s">
        <v>55</v>
      </c>
      <c r="E827" t="s">
        <v>19</v>
      </c>
      <c r="F827" t="s">
        <v>28</v>
      </c>
      <c r="G827">
        <v>1493.9</v>
      </c>
      <c r="H827">
        <v>846.36</v>
      </c>
      <c r="I827">
        <v>647.54</v>
      </c>
      <c r="K827">
        <v>5</v>
      </c>
      <c r="L827" t="s">
        <v>22</v>
      </c>
      <c r="M827" t="s">
        <v>64</v>
      </c>
      <c r="N827">
        <v>2</v>
      </c>
      <c r="O827" t="s">
        <v>21</v>
      </c>
    </row>
    <row r="828" spans="1:15" x14ac:dyDescent="0.3">
      <c r="A828" t="s">
        <v>1452</v>
      </c>
      <c r="B828" s="3">
        <v>45346</v>
      </c>
      <c r="C828" t="s">
        <v>7</v>
      </c>
      <c r="D828" t="s">
        <v>128</v>
      </c>
      <c r="E828" t="s">
        <v>40</v>
      </c>
      <c r="F828" t="s">
        <v>73</v>
      </c>
      <c r="G828">
        <v>2953.87</v>
      </c>
      <c r="H828">
        <v>1738.19</v>
      </c>
      <c r="I828">
        <v>1215.68</v>
      </c>
      <c r="K828">
        <v>4</v>
      </c>
      <c r="L828" t="s">
        <v>22</v>
      </c>
      <c r="M828" t="s">
        <v>124</v>
      </c>
      <c r="N828">
        <v>1</v>
      </c>
      <c r="O828" t="s">
        <v>21</v>
      </c>
    </row>
    <row r="829" spans="1:15" x14ac:dyDescent="0.3">
      <c r="A829" t="s">
        <v>1453</v>
      </c>
      <c r="B829" s="3">
        <v>45525</v>
      </c>
      <c r="C829" t="s">
        <v>17</v>
      </c>
      <c r="D829" t="s">
        <v>100</v>
      </c>
      <c r="E829" t="s">
        <v>87</v>
      </c>
      <c r="F829" t="s">
        <v>73</v>
      </c>
      <c r="G829">
        <v>2161.3000000000002</v>
      </c>
      <c r="H829">
        <v>1357.3</v>
      </c>
      <c r="I829">
        <v>804</v>
      </c>
      <c r="K829">
        <v>5</v>
      </c>
      <c r="L829" t="s">
        <v>22</v>
      </c>
      <c r="M829" t="s">
        <v>32</v>
      </c>
      <c r="N829">
        <v>3</v>
      </c>
      <c r="O829" t="s">
        <v>21</v>
      </c>
    </row>
    <row r="830" spans="1:15" x14ac:dyDescent="0.3">
      <c r="A830" t="s">
        <v>1454</v>
      </c>
      <c r="B830" s="3">
        <v>45358</v>
      </c>
      <c r="C830" t="s">
        <v>7</v>
      </c>
      <c r="D830" t="s">
        <v>131</v>
      </c>
      <c r="E830" t="s">
        <v>35</v>
      </c>
      <c r="F830" t="s">
        <v>44</v>
      </c>
      <c r="G830">
        <v>2176.62</v>
      </c>
      <c r="H830">
        <v>1207.98</v>
      </c>
      <c r="I830">
        <v>968.64</v>
      </c>
      <c r="K830">
        <v>5</v>
      </c>
      <c r="L830" t="s">
        <v>22</v>
      </c>
      <c r="M830" t="s">
        <v>76</v>
      </c>
      <c r="N830">
        <v>1</v>
      </c>
      <c r="O830" t="s">
        <v>21</v>
      </c>
    </row>
    <row r="831" spans="1:15" x14ac:dyDescent="0.3">
      <c r="A831" t="s">
        <v>1455</v>
      </c>
      <c r="B831" s="3">
        <v>45583</v>
      </c>
      <c r="C831" t="s">
        <v>33</v>
      </c>
      <c r="D831" t="s">
        <v>171</v>
      </c>
      <c r="E831" t="s">
        <v>84</v>
      </c>
      <c r="F831" t="s">
        <v>73</v>
      </c>
      <c r="G831">
        <v>1026.02</v>
      </c>
      <c r="H831">
        <v>759.51</v>
      </c>
      <c r="I831">
        <v>266.51</v>
      </c>
      <c r="K831">
        <v>5</v>
      </c>
      <c r="L831" t="s">
        <v>22</v>
      </c>
      <c r="M831" t="s">
        <v>68</v>
      </c>
      <c r="N831">
        <v>4</v>
      </c>
      <c r="O831" t="s">
        <v>21</v>
      </c>
    </row>
    <row r="832" spans="1:15" x14ac:dyDescent="0.3">
      <c r="A832" t="s">
        <v>1456</v>
      </c>
      <c r="B832" s="3">
        <v>45410</v>
      </c>
      <c r="C832" t="s">
        <v>42</v>
      </c>
      <c r="D832" t="s">
        <v>77</v>
      </c>
      <c r="E832" t="s">
        <v>40</v>
      </c>
      <c r="F832" t="s">
        <v>73</v>
      </c>
      <c r="G832">
        <v>1850.58</v>
      </c>
      <c r="H832">
        <v>1534.66</v>
      </c>
      <c r="I832">
        <v>315.92</v>
      </c>
      <c r="K832">
        <v>5</v>
      </c>
      <c r="L832" t="s">
        <v>22</v>
      </c>
      <c r="M832" t="s">
        <v>16</v>
      </c>
      <c r="N832">
        <v>2</v>
      </c>
      <c r="O832" t="s">
        <v>21</v>
      </c>
    </row>
    <row r="833" spans="1:15" x14ac:dyDescent="0.3">
      <c r="A833" t="s">
        <v>1458</v>
      </c>
      <c r="B833" s="3">
        <v>45492</v>
      </c>
      <c r="C833" t="s">
        <v>33</v>
      </c>
      <c r="D833" t="s">
        <v>297</v>
      </c>
      <c r="E833" t="s">
        <v>27</v>
      </c>
      <c r="F833" t="s">
        <v>28</v>
      </c>
      <c r="G833">
        <v>1466.17</v>
      </c>
      <c r="H833">
        <v>886.99</v>
      </c>
      <c r="I833">
        <v>579.17999999999995</v>
      </c>
      <c r="K833">
        <v>3</v>
      </c>
      <c r="L833" t="s">
        <v>22</v>
      </c>
      <c r="M833" t="s">
        <v>54</v>
      </c>
      <c r="N833">
        <v>3</v>
      </c>
      <c r="O833" t="s">
        <v>21</v>
      </c>
    </row>
    <row r="834" spans="1:15" x14ac:dyDescent="0.3">
      <c r="A834" t="s">
        <v>1459</v>
      </c>
      <c r="B834" s="3">
        <v>45421</v>
      </c>
      <c r="C834" t="s">
        <v>7</v>
      </c>
      <c r="D834" t="s">
        <v>182</v>
      </c>
      <c r="E834" t="s">
        <v>19</v>
      </c>
      <c r="F834" t="s">
        <v>20</v>
      </c>
      <c r="G834">
        <v>2862.53</v>
      </c>
      <c r="H834">
        <v>2116.65</v>
      </c>
      <c r="I834">
        <v>745.88</v>
      </c>
      <c r="K834">
        <v>1</v>
      </c>
      <c r="L834" t="s">
        <v>22</v>
      </c>
      <c r="M834" t="s">
        <v>104</v>
      </c>
      <c r="N834">
        <v>2</v>
      </c>
      <c r="O834" t="s">
        <v>21</v>
      </c>
    </row>
    <row r="835" spans="1:15" x14ac:dyDescent="0.3">
      <c r="A835" t="s">
        <v>1461</v>
      </c>
      <c r="B835" s="3">
        <v>45401</v>
      </c>
      <c r="C835" t="s">
        <v>7</v>
      </c>
      <c r="D835" t="s">
        <v>65</v>
      </c>
      <c r="E835" t="s">
        <v>27</v>
      </c>
      <c r="F835" t="s">
        <v>36</v>
      </c>
      <c r="G835">
        <v>1747.3</v>
      </c>
      <c r="H835">
        <v>1018.98</v>
      </c>
      <c r="I835">
        <v>728.32</v>
      </c>
      <c r="K835">
        <v>1</v>
      </c>
      <c r="L835" t="s">
        <v>22</v>
      </c>
      <c r="M835" t="s">
        <v>16</v>
      </c>
      <c r="N835">
        <v>2</v>
      </c>
      <c r="O835" t="s">
        <v>21</v>
      </c>
    </row>
    <row r="836" spans="1:15" x14ac:dyDescent="0.3">
      <c r="A836" t="s">
        <v>1462</v>
      </c>
      <c r="B836" s="3">
        <v>45572</v>
      </c>
      <c r="C836" t="s">
        <v>33</v>
      </c>
      <c r="D836" t="s">
        <v>93</v>
      </c>
      <c r="E836" t="s">
        <v>40</v>
      </c>
      <c r="F836" t="s">
        <v>28</v>
      </c>
      <c r="G836">
        <v>1643.81</v>
      </c>
      <c r="H836">
        <v>969.5</v>
      </c>
      <c r="I836">
        <v>674.31</v>
      </c>
      <c r="K836">
        <v>5</v>
      </c>
      <c r="L836" t="s">
        <v>29</v>
      </c>
      <c r="M836" t="s">
        <v>68</v>
      </c>
      <c r="N836">
        <v>4</v>
      </c>
      <c r="O836" t="s">
        <v>21</v>
      </c>
    </row>
    <row r="837" spans="1:15" x14ac:dyDescent="0.3">
      <c r="A837" t="s">
        <v>1463</v>
      </c>
      <c r="B837" s="3">
        <v>45609</v>
      </c>
      <c r="C837" t="s">
        <v>59</v>
      </c>
      <c r="D837" t="s">
        <v>194</v>
      </c>
      <c r="E837" t="s">
        <v>40</v>
      </c>
      <c r="F837" t="s">
        <v>44</v>
      </c>
      <c r="G837">
        <v>1639.49</v>
      </c>
      <c r="H837">
        <v>1001.38</v>
      </c>
      <c r="I837">
        <v>638.11</v>
      </c>
      <c r="J837">
        <v>7</v>
      </c>
      <c r="K837">
        <v>3</v>
      </c>
      <c r="L837" t="s">
        <v>22</v>
      </c>
      <c r="M837" t="s">
        <v>111</v>
      </c>
      <c r="N837">
        <v>4</v>
      </c>
      <c r="O837" t="s">
        <v>56</v>
      </c>
    </row>
    <row r="838" spans="1:15" x14ac:dyDescent="0.3">
      <c r="A838" t="s">
        <v>1464</v>
      </c>
      <c r="B838" s="3">
        <v>45461</v>
      </c>
      <c r="C838" t="s">
        <v>7</v>
      </c>
      <c r="D838" t="s">
        <v>131</v>
      </c>
      <c r="E838" t="s">
        <v>19</v>
      </c>
      <c r="F838" t="s">
        <v>28</v>
      </c>
      <c r="G838">
        <v>1298.1400000000001</v>
      </c>
      <c r="H838">
        <v>780.77</v>
      </c>
      <c r="I838">
        <v>517.37</v>
      </c>
      <c r="K838">
        <v>4</v>
      </c>
      <c r="L838" t="s">
        <v>22</v>
      </c>
      <c r="M838" t="s">
        <v>64</v>
      </c>
      <c r="N838">
        <v>2</v>
      </c>
      <c r="O838" t="s">
        <v>21</v>
      </c>
    </row>
    <row r="839" spans="1:15" x14ac:dyDescent="0.3">
      <c r="A839" t="s">
        <v>1465</v>
      </c>
      <c r="B839" s="3">
        <v>45523</v>
      </c>
      <c r="C839" t="s">
        <v>17</v>
      </c>
      <c r="D839" t="s">
        <v>51</v>
      </c>
      <c r="E839" t="s">
        <v>87</v>
      </c>
      <c r="F839" t="s">
        <v>73</v>
      </c>
      <c r="G839">
        <v>2290.66</v>
      </c>
      <c r="H839">
        <v>1434.32</v>
      </c>
      <c r="I839">
        <v>856.34</v>
      </c>
      <c r="J839">
        <v>1</v>
      </c>
      <c r="K839">
        <v>4</v>
      </c>
      <c r="L839" t="s">
        <v>22</v>
      </c>
      <c r="M839" t="s">
        <v>32</v>
      </c>
      <c r="N839">
        <v>3</v>
      </c>
      <c r="O839" t="s">
        <v>56</v>
      </c>
    </row>
    <row r="840" spans="1:15" x14ac:dyDescent="0.3">
      <c r="A840" t="s">
        <v>1466</v>
      </c>
      <c r="B840" s="3">
        <v>45571</v>
      </c>
      <c r="C840" t="s">
        <v>7</v>
      </c>
      <c r="D840" t="s">
        <v>69</v>
      </c>
      <c r="E840" t="s">
        <v>84</v>
      </c>
      <c r="F840" t="s">
        <v>44</v>
      </c>
      <c r="G840">
        <v>3298.72</v>
      </c>
      <c r="H840">
        <v>1827.77</v>
      </c>
      <c r="I840">
        <v>1470.95</v>
      </c>
      <c r="K840">
        <v>4</v>
      </c>
      <c r="L840" t="s">
        <v>22</v>
      </c>
      <c r="M840" t="s">
        <v>68</v>
      </c>
      <c r="N840">
        <v>4</v>
      </c>
      <c r="O840" t="s">
        <v>21</v>
      </c>
    </row>
    <row r="841" spans="1:15" x14ac:dyDescent="0.3">
      <c r="A841" t="s">
        <v>1468</v>
      </c>
      <c r="B841" s="3">
        <v>45436</v>
      </c>
      <c r="C841" t="s">
        <v>17</v>
      </c>
      <c r="D841" t="s">
        <v>26</v>
      </c>
      <c r="E841" t="s">
        <v>87</v>
      </c>
      <c r="F841" t="s">
        <v>44</v>
      </c>
      <c r="G841">
        <v>1095.92</v>
      </c>
      <c r="H841">
        <v>855.66</v>
      </c>
      <c r="I841">
        <v>240.26</v>
      </c>
      <c r="J841">
        <v>1</v>
      </c>
      <c r="K841">
        <v>4</v>
      </c>
      <c r="L841" t="s">
        <v>22</v>
      </c>
      <c r="M841" t="s">
        <v>104</v>
      </c>
      <c r="N841">
        <v>2</v>
      </c>
      <c r="O841" t="s">
        <v>56</v>
      </c>
    </row>
    <row r="842" spans="1:15" x14ac:dyDescent="0.3">
      <c r="A842" t="s">
        <v>1469</v>
      </c>
      <c r="B842" s="3">
        <v>45514</v>
      </c>
      <c r="C842" t="s">
        <v>7</v>
      </c>
      <c r="D842" t="s">
        <v>134</v>
      </c>
      <c r="E842" t="s">
        <v>19</v>
      </c>
      <c r="F842" t="s">
        <v>44</v>
      </c>
      <c r="G842">
        <v>2091.79</v>
      </c>
      <c r="H842">
        <v>1464.1</v>
      </c>
      <c r="I842">
        <v>627.69000000000005</v>
      </c>
      <c r="K842">
        <v>5</v>
      </c>
      <c r="L842" t="s">
        <v>22</v>
      </c>
      <c r="M842" t="s">
        <v>32</v>
      </c>
      <c r="N842">
        <v>3</v>
      </c>
      <c r="O842" t="s">
        <v>21</v>
      </c>
    </row>
    <row r="843" spans="1:15" x14ac:dyDescent="0.3">
      <c r="A843" t="s">
        <v>1471</v>
      </c>
      <c r="B843" s="3">
        <v>45357</v>
      </c>
      <c r="C843" t="s">
        <v>33</v>
      </c>
      <c r="D843" t="s">
        <v>105</v>
      </c>
      <c r="E843" t="s">
        <v>84</v>
      </c>
      <c r="F843" t="s">
        <v>36</v>
      </c>
      <c r="G843">
        <v>1170.21</v>
      </c>
      <c r="H843">
        <v>823.35</v>
      </c>
      <c r="I843">
        <v>346.86</v>
      </c>
      <c r="K843">
        <v>4</v>
      </c>
      <c r="L843" t="s">
        <v>22</v>
      </c>
      <c r="M843" t="s">
        <v>76</v>
      </c>
      <c r="N843">
        <v>1</v>
      </c>
      <c r="O843" t="s">
        <v>21</v>
      </c>
    </row>
    <row r="844" spans="1:15" x14ac:dyDescent="0.3">
      <c r="A844" t="s">
        <v>1472</v>
      </c>
      <c r="B844" s="3">
        <v>45534</v>
      </c>
      <c r="C844" t="s">
        <v>42</v>
      </c>
      <c r="D844" t="s">
        <v>162</v>
      </c>
      <c r="E844" t="s">
        <v>19</v>
      </c>
      <c r="F844" t="s">
        <v>44</v>
      </c>
      <c r="G844">
        <v>182.9</v>
      </c>
      <c r="H844">
        <v>144.78</v>
      </c>
      <c r="I844">
        <v>38.119999999999997</v>
      </c>
      <c r="K844">
        <v>1</v>
      </c>
      <c r="L844" t="s">
        <v>22</v>
      </c>
      <c r="M844" t="s">
        <v>32</v>
      </c>
      <c r="N844">
        <v>3</v>
      </c>
      <c r="O844" t="s">
        <v>21</v>
      </c>
    </row>
    <row r="845" spans="1:15" x14ac:dyDescent="0.3">
      <c r="A845" t="s">
        <v>1473</v>
      </c>
      <c r="B845" s="3">
        <v>45560</v>
      </c>
      <c r="C845" t="s">
        <v>7</v>
      </c>
      <c r="D845" t="s">
        <v>65</v>
      </c>
      <c r="E845" t="s">
        <v>84</v>
      </c>
      <c r="F845" t="s">
        <v>36</v>
      </c>
      <c r="G845">
        <v>3234.2</v>
      </c>
      <c r="H845">
        <v>2563.34</v>
      </c>
      <c r="I845">
        <v>670.86</v>
      </c>
      <c r="K845">
        <v>5</v>
      </c>
      <c r="L845" t="s">
        <v>22</v>
      </c>
      <c r="M845" t="s">
        <v>115</v>
      </c>
      <c r="N845">
        <v>3</v>
      </c>
      <c r="O845" t="s">
        <v>21</v>
      </c>
    </row>
    <row r="846" spans="1:15" x14ac:dyDescent="0.3">
      <c r="A846" t="s">
        <v>1475</v>
      </c>
      <c r="B846" s="3">
        <v>45307</v>
      </c>
      <c r="C846" t="s">
        <v>59</v>
      </c>
      <c r="D846" t="s">
        <v>108</v>
      </c>
      <c r="E846" t="s">
        <v>35</v>
      </c>
      <c r="F846" t="s">
        <v>44</v>
      </c>
      <c r="G846">
        <v>3243.9</v>
      </c>
      <c r="H846">
        <v>2044.6</v>
      </c>
      <c r="I846">
        <v>1199.3</v>
      </c>
      <c r="L846" t="s">
        <v>22</v>
      </c>
      <c r="M846" t="s">
        <v>25</v>
      </c>
      <c r="N846">
        <v>1</v>
      </c>
      <c r="O846" t="s">
        <v>21</v>
      </c>
    </row>
    <row r="847" spans="1:15" x14ac:dyDescent="0.3">
      <c r="A847" t="s">
        <v>1476</v>
      </c>
      <c r="B847" s="3">
        <v>45360</v>
      </c>
      <c r="C847" t="s">
        <v>7</v>
      </c>
      <c r="D847" t="s">
        <v>69</v>
      </c>
      <c r="E847" t="s">
        <v>40</v>
      </c>
      <c r="F847" t="s">
        <v>36</v>
      </c>
      <c r="G847">
        <v>1489.61</v>
      </c>
      <c r="H847">
        <v>941.1</v>
      </c>
      <c r="I847">
        <v>548.51</v>
      </c>
      <c r="K847">
        <v>4</v>
      </c>
      <c r="L847" t="s">
        <v>22</v>
      </c>
      <c r="M847" t="s">
        <v>76</v>
      </c>
      <c r="N847">
        <v>1</v>
      </c>
      <c r="O847" t="s">
        <v>21</v>
      </c>
    </row>
    <row r="848" spans="1:15" x14ac:dyDescent="0.3">
      <c r="A848" t="s">
        <v>1478</v>
      </c>
      <c r="B848" s="3">
        <v>45324</v>
      </c>
      <c r="C848" t="s">
        <v>59</v>
      </c>
      <c r="D848" t="s">
        <v>301</v>
      </c>
      <c r="E848" t="s">
        <v>35</v>
      </c>
      <c r="F848" t="s">
        <v>73</v>
      </c>
      <c r="G848">
        <v>3166.93</v>
      </c>
      <c r="H848">
        <v>2064.0500000000002</v>
      </c>
      <c r="I848">
        <v>1102.8800000000001</v>
      </c>
      <c r="K848">
        <v>4</v>
      </c>
      <c r="L848" t="s">
        <v>22</v>
      </c>
      <c r="M848" t="s">
        <v>124</v>
      </c>
      <c r="N848">
        <v>1</v>
      </c>
      <c r="O848" t="s">
        <v>21</v>
      </c>
    </row>
    <row r="849" spans="1:15" x14ac:dyDescent="0.3">
      <c r="A849" t="s">
        <v>1479</v>
      </c>
      <c r="B849" s="3">
        <v>45486</v>
      </c>
      <c r="C849" t="s">
        <v>42</v>
      </c>
      <c r="D849" t="s">
        <v>43</v>
      </c>
      <c r="E849" t="s">
        <v>27</v>
      </c>
      <c r="F849" t="s">
        <v>36</v>
      </c>
      <c r="G849">
        <v>4715.57</v>
      </c>
      <c r="H849">
        <v>4182.4399999999996</v>
      </c>
      <c r="I849">
        <v>533.13</v>
      </c>
      <c r="K849">
        <v>4</v>
      </c>
      <c r="L849" t="s">
        <v>22</v>
      </c>
      <c r="M849" t="s">
        <v>54</v>
      </c>
      <c r="N849">
        <v>3</v>
      </c>
      <c r="O849" t="s">
        <v>21</v>
      </c>
    </row>
    <row r="850" spans="1:15" x14ac:dyDescent="0.3">
      <c r="A850" t="s">
        <v>1481</v>
      </c>
      <c r="B850" s="3">
        <v>45314</v>
      </c>
      <c r="C850" t="s">
        <v>17</v>
      </c>
      <c r="D850" t="s">
        <v>226</v>
      </c>
      <c r="E850" t="s">
        <v>35</v>
      </c>
      <c r="F850" t="s">
        <v>36</v>
      </c>
      <c r="G850">
        <v>3246.11</v>
      </c>
      <c r="H850">
        <v>1974.84</v>
      </c>
      <c r="I850">
        <v>1271.27</v>
      </c>
      <c r="J850">
        <v>3</v>
      </c>
      <c r="K850">
        <v>3</v>
      </c>
      <c r="L850" t="s">
        <v>22</v>
      </c>
      <c r="M850" t="s">
        <v>25</v>
      </c>
      <c r="N850">
        <v>1</v>
      </c>
      <c r="O850" t="s">
        <v>56</v>
      </c>
    </row>
    <row r="851" spans="1:15" x14ac:dyDescent="0.3">
      <c r="A851" t="s">
        <v>1482</v>
      </c>
      <c r="B851" s="3">
        <v>45605</v>
      </c>
      <c r="C851" t="s">
        <v>7</v>
      </c>
      <c r="D851" t="s">
        <v>55</v>
      </c>
      <c r="E851" t="s">
        <v>87</v>
      </c>
      <c r="F851" t="s">
        <v>20</v>
      </c>
      <c r="G851">
        <v>2700.53</v>
      </c>
      <c r="H851">
        <v>1820.61</v>
      </c>
      <c r="I851">
        <v>879.92</v>
      </c>
      <c r="K851">
        <v>5</v>
      </c>
      <c r="L851" t="s">
        <v>22</v>
      </c>
      <c r="M851" t="s">
        <v>111</v>
      </c>
      <c r="N851">
        <v>4</v>
      </c>
      <c r="O851" t="s">
        <v>21</v>
      </c>
    </row>
    <row r="852" spans="1:15" x14ac:dyDescent="0.3">
      <c r="A852" t="s">
        <v>1483</v>
      </c>
      <c r="B852" s="3">
        <v>45350</v>
      </c>
      <c r="C852" t="s">
        <v>42</v>
      </c>
      <c r="D852" t="s">
        <v>77</v>
      </c>
      <c r="E852" t="s">
        <v>35</v>
      </c>
      <c r="F852" t="s">
        <v>36</v>
      </c>
      <c r="G852">
        <v>2991.05</v>
      </c>
      <c r="H852">
        <v>2210.35</v>
      </c>
      <c r="I852">
        <v>780.7</v>
      </c>
      <c r="J852">
        <v>14</v>
      </c>
      <c r="K852">
        <v>4</v>
      </c>
      <c r="L852" t="s">
        <v>22</v>
      </c>
      <c r="M852" t="s">
        <v>124</v>
      </c>
      <c r="N852">
        <v>1</v>
      </c>
      <c r="O852" t="s">
        <v>56</v>
      </c>
    </row>
    <row r="853" spans="1:15" x14ac:dyDescent="0.3">
      <c r="A853" t="s">
        <v>1485</v>
      </c>
      <c r="B853" s="3">
        <v>45336</v>
      </c>
      <c r="C853" t="s">
        <v>17</v>
      </c>
      <c r="D853" t="s">
        <v>51</v>
      </c>
      <c r="E853" t="s">
        <v>40</v>
      </c>
      <c r="F853" t="s">
        <v>44</v>
      </c>
      <c r="G853">
        <v>1492.79</v>
      </c>
      <c r="H853">
        <v>856.63</v>
      </c>
      <c r="I853">
        <v>636.16</v>
      </c>
      <c r="K853">
        <v>1</v>
      </c>
      <c r="L853" t="s">
        <v>22</v>
      </c>
      <c r="M853" t="s">
        <v>124</v>
      </c>
      <c r="N853">
        <v>1</v>
      </c>
      <c r="O853" t="s">
        <v>21</v>
      </c>
    </row>
    <row r="854" spans="1:15" x14ac:dyDescent="0.3">
      <c r="A854" t="s">
        <v>1486</v>
      </c>
      <c r="B854" s="3">
        <v>45384</v>
      </c>
      <c r="C854" t="s">
        <v>33</v>
      </c>
      <c r="D854" t="s">
        <v>105</v>
      </c>
      <c r="E854" t="s">
        <v>27</v>
      </c>
      <c r="F854" t="s">
        <v>36</v>
      </c>
      <c r="G854">
        <v>2552.62</v>
      </c>
      <c r="H854">
        <v>1794.52</v>
      </c>
      <c r="I854">
        <v>758.1</v>
      </c>
      <c r="K854">
        <v>4</v>
      </c>
      <c r="L854" t="s">
        <v>29</v>
      </c>
      <c r="M854" t="s">
        <v>16</v>
      </c>
      <c r="N854">
        <v>2</v>
      </c>
      <c r="O854" t="s">
        <v>21</v>
      </c>
    </row>
    <row r="855" spans="1:15" x14ac:dyDescent="0.3">
      <c r="A855" t="s">
        <v>1487</v>
      </c>
      <c r="B855" s="3">
        <v>45414</v>
      </c>
      <c r="C855" t="s">
        <v>42</v>
      </c>
      <c r="D855" t="s">
        <v>83</v>
      </c>
      <c r="E855" t="s">
        <v>19</v>
      </c>
      <c r="F855" t="s">
        <v>20</v>
      </c>
      <c r="G855">
        <v>1957.77</v>
      </c>
      <c r="H855">
        <v>1649.99</v>
      </c>
      <c r="I855">
        <v>307.77999999999997</v>
      </c>
      <c r="K855">
        <v>4</v>
      </c>
      <c r="L855" t="s">
        <v>22</v>
      </c>
      <c r="M855" t="s">
        <v>104</v>
      </c>
      <c r="N855">
        <v>2</v>
      </c>
      <c r="O855" t="s">
        <v>21</v>
      </c>
    </row>
    <row r="856" spans="1:15" x14ac:dyDescent="0.3">
      <c r="A856" t="s">
        <v>1488</v>
      </c>
      <c r="B856" s="3">
        <v>45407</v>
      </c>
      <c r="C856" t="s">
        <v>33</v>
      </c>
      <c r="D856" t="s">
        <v>34</v>
      </c>
      <c r="E856" t="s">
        <v>27</v>
      </c>
      <c r="F856" t="s">
        <v>28</v>
      </c>
      <c r="G856">
        <v>694.9</v>
      </c>
      <c r="H856">
        <v>395</v>
      </c>
      <c r="I856">
        <v>299.89999999999998</v>
      </c>
      <c r="K856">
        <v>5</v>
      </c>
      <c r="L856" t="s">
        <v>29</v>
      </c>
      <c r="M856" t="s">
        <v>16</v>
      </c>
      <c r="N856">
        <v>2</v>
      </c>
      <c r="O856" t="s">
        <v>21</v>
      </c>
    </row>
    <row r="857" spans="1:15" x14ac:dyDescent="0.3">
      <c r="A857" t="s">
        <v>1490</v>
      </c>
      <c r="B857" s="3">
        <v>45571</v>
      </c>
      <c r="C857" t="s">
        <v>7</v>
      </c>
      <c r="D857" t="s">
        <v>185</v>
      </c>
      <c r="E857" t="s">
        <v>40</v>
      </c>
      <c r="F857" t="s">
        <v>28</v>
      </c>
      <c r="G857">
        <v>418.53</v>
      </c>
      <c r="H857">
        <v>309.73</v>
      </c>
      <c r="I857">
        <v>108.8</v>
      </c>
      <c r="J857">
        <v>6</v>
      </c>
      <c r="K857">
        <v>1</v>
      </c>
      <c r="L857" t="s">
        <v>22</v>
      </c>
      <c r="M857" t="s">
        <v>68</v>
      </c>
      <c r="N857">
        <v>4</v>
      </c>
      <c r="O857" t="s">
        <v>56</v>
      </c>
    </row>
    <row r="858" spans="1:15" x14ac:dyDescent="0.3">
      <c r="A858" t="s">
        <v>1491</v>
      </c>
      <c r="B858" s="3">
        <v>45509</v>
      </c>
      <c r="C858" t="s">
        <v>42</v>
      </c>
      <c r="D858" t="s">
        <v>262</v>
      </c>
      <c r="E858" t="s">
        <v>27</v>
      </c>
      <c r="F858" t="s">
        <v>36</v>
      </c>
      <c r="G858">
        <v>990.9</v>
      </c>
      <c r="H858">
        <v>755.84</v>
      </c>
      <c r="I858">
        <v>235.06</v>
      </c>
      <c r="K858">
        <v>5</v>
      </c>
      <c r="L858" t="s">
        <v>22</v>
      </c>
      <c r="M858" t="s">
        <v>32</v>
      </c>
      <c r="N858">
        <v>3</v>
      </c>
      <c r="O858" t="s">
        <v>21</v>
      </c>
    </row>
    <row r="859" spans="1:15" x14ac:dyDescent="0.3">
      <c r="A859" t="s">
        <v>1492</v>
      </c>
      <c r="B859" s="3">
        <v>45368</v>
      </c>
      <c r="C859" t="s">
        <v>33</v>
      </c>
      <c r="D859" t="s">
        <v>105</v>
      </c>
      <c r="E859" t="s">
        <v>35</v>
      </c>
      <c r="F859" t="s">
        <v>36</v>
      </c>
      <c r="G859">
        <v>244.06</v>
      </c>
      <c r="H859">
        <v>175.43</v>
      </c>
      <c r="I859">
        <v>68.63</v>
      </c>
      <c r="J859">
        <v>3</v>
      </c>
      <c r="K859">
        <v>1</v>
      </c>
      <c r="L859" t="s">
        <v>22</v>
      </c>
      <c r="M859" t="s">
        <v>76</v>
      </c>
      <c r="N859">
        <v>1</v>
      </c>
      <c r="O859" t="s">
        <v>56</v>
      </c>
    </row>
    <row r="860" spans="1:15" x14ac:dyDescent="0.3">
      <c r="A860" t="s">
        <v>1493</v>
      </c>
      <c r="B860" s="3">
        <v>45368</v>
      </c>
      <c r="C860" t="s">
        <v>33</v>
      </c>
      <c r="D860" t="s">
        <v>297</v>
      </c>
      <c r="E860" t="s">
        <v>35</v>
      </c>
      <c r="F860" t="s">
        <v>44</v>
      </c>
      <c r="G860">
        <v>1375.49</v>
      </c>
      <c r="H860">
        <v>833.31</v>
      </c>
      <c r="I860">
        <v>542.17999999999995</v>
      </c>
      <c r="J860">
        <v>6</v>
      </c>
      <c r="K860">
        <v>2</v>
      </c>
      <c r="L860" t="s">
        <v>29</v>
      </c>
      <c r="M860" t="s">
        <v>76</v>
      </c>
      <c r="N860">
        <v>1</v>
      </c>
      <c r="O860" t="s">
        <v>56</v>
      </c>
    </row>
    <row r="861" spans="1:15" x14ac:dyDescent="0.3">
      <c r="A861" t="s">
        <v>1495</v>
      </c>
      <c r="B861" s="3">
        <v>45306</v>
      </c>
      <c r="C861" t="s">
        <v>42</v>
      </c>
      <c r="D861" t="s">
        <v>214</v>
      </c>
      <c r="E861" t="s">
        <v>19</v>
      </c>
      <c r="F861" t="s">
        <v>44</v>
      </c>
      <c r="G861">
        <v>454.11</v>
      </c>
      <c r="H861">
        <v>402.38</v>
      </c>
      <c r="I861">
        <v>51.73</v>
      </c>
      <c r="K861">
        <v>3</v>
      </c>
      <c r="L861" t="s">
        <v>22</v>
      </c>
      <c r="M861" t="s">
        <v>25</v>
      </c>
      <c r="N861">
        <v>1</v>
      </c>
      <c r="O861" t="s">
        <v>21</v>
      </c>
    </row>
    <row r="862" spans="1:15" x14ac:dyDescent="0.3">
      <c r="A862" t="s">
        <v>1496</v>
      </c>
      <c r="B862" s="3">
        <v>45357</v>
      </c>
      <c r="C862" t="s">
        <v>17</v>
      </c>
      <c r="D862" t="s">
        <v>72</v>
      </c>
      <c r="E862" t="s">
        <v>87</v>
      </c>
      <c r="F862" t="s">
        <v>176</v>
      </c>
      <c r="G862">
        <v>2137.9899999999998</v>
      </c>
      <c r="H862">
        <v>1536.81</v>
      </c>
      <c r="I862">
        <v>601.17999999999995</v>
      </c>
      <c r="K862">
        <v>4</v>
      </c>
      <c r="L862" t="s">
        <v>22</v>
      </c>
      <c r="M862" t="s">
        <v>76</v>
      </c>
      <c r="N862">
        <v>1</v>
      </c>
      <c r="O862" t="s">
        <v>21</v>
      </c>
    </row>
    <row r="863" spans="1:15" x14ac:dyDescent="0.3">
      <c r="A863" t="s">
        <v>1498</v>
      </c>
      <c r="B863" s="3">
        <v>45567</v>
      </c>
      <c r="C863" t="s">
        <v>7</v>
      </c>
      <c r="D863" t="s">
        <v>134</v>
      </c>
      <c r="E863" t="s">
        <v>84</v>
      </c>
      <c r="F863" t="s">
        <v>36</v>
      </c>
      <c r="G863">
        <v>1753.55</v>
      </c>
      <c r="H863">
        <v>1342.94</v>
      </c>
      <c r="I863">
        <v>410.61</v>
      </c>
      <c r="K863">
        <v>4</v>
      </c>
      <c r="L863" t="s">
        <v>22</v>
      </c>
      <c r="M863" t="s">
        <v>68</v>
      </c>
      <c r="N863">
        <v>4</v>
      </c>
      <c r="O863" t="s">
        <v>21</v>
      </c>
    </row>
    <row r="864" spans="1:15" x14ac:dyDescent="0.3">
      <c r="A864" t="s">
        <v>1500</v>
      </c>
      <c r="B864" s="3">
        <v>45390</v>
      </c>
      <c r="C864" t="s">
        <v>7</v>
      </c>
      <c r="D864" t="s">
        <v>185</v>
      </c>
      <c r="E864" t="s">
        <v>87</v>
      </c>
      <c r="F864" t="s">
        <v>44</v>
      </c>
      <c r="G864">
        <v>2794.97</v>
      </c>
      <c r="H864">
        <v>2164.04</v>
      </c>
      <c r="I864">
        <v>630.92999999999995</v>
      </c>
      <c r="J864">
        <v>2</v>
      </c>
      <c r="K864">
        <v>4</v>
      </c>
      <c r="L864" t="s">
        <v>22</v>
      </c>
      <c r="M864" t="s">
        <v>16</v>
      </c>
      <c r="N864">
        <v>2</v>
      </c>
      <c r="O864" t="s">
        <v>56</v>
      </c>
    </row>
    <row r="865" spans="1:15" x14ac:dyDescent="0.3">
      <c r="A865" t="s">
        <v>1501</v>
      </c>
      <c r="B865" s="3">
        <v>45342</v>
      </c>
      <c r="C865" t="s">
        <v>59</v>
      </c>
      <c r="D865" t="s">
        <v>108</v>
      </c>
      <c r="E865" t="s">
        <v>84</v>
      </c>
      <c r="F865" t="s">
        <v>36</v>
      </c>
      <c r="G865">
        <v>1005.4</v>
      </c>
      <c r="H865">
        <v>699.8</v>
      </c>
      <c r="I865">
        <v>305.60000000000002</v>
      </c>
      <c r="K865">
        <v>5</v>
      </c>
      <c r="L865" t="s">
        <v>22</v>
      </c>
      <c r="M865" t="s">
        <v>124</v>
      </c>
      <c r="N865">
        <v>1</v>
      </c>
      <c r="O865" t="s">
        <v>21</v>
      </c>
    </row>
    <row r="866" spans="1:15" x14ac:dyDescent="0.3">
      <c r="A866" t="s">
        <v>1502</v>
      </c>
      <c r="B866" s="3">
        <v>45494</v>
      </c>
      <c r="C866" t="s">
        <v>42</v>
      </c>
      <c r="D866" t="s">
        <v>162</v>
      </c>
      <c r="E866" t="s">
        <v>19</v>
      </c>
      <c r="F866" t="s">
        <v>28</v>
      </c>
      <c r="G866">
        <v>3030.07</v>
      </c>
      <c r="H866">
        <v>2273.9299999999998</v>
      </c>
      <c r="I866">
        <v>756.14</v>
      </c>
      <c r="K866">
        <v>3</v>
      </c>
      <c r="L866" t="s">
        <v>22</v>
      </c>
      <c r="M866" t="s">
        <v>54</v>
      </c>
      <c r="N866">
        <v>3</v>
      </c>
      <c r="O866" t="s">
        <v>21</v>
      </c>
    </row>
    <row r="867" spans="1:15" x14ac:dyDescent="0.3">
      <c r="A867" t="s">
        <v>1503</v>
      </c>
      <c r="B867" s="3">
        <v>45607</v>
      </c>
      <c r="C867" t="s">
        <v>42</v>
      </c>
      <c r="D867" t="s">
        <v>214</v>
      </c>
      <c r="E867" t="s">
        <v>27</v>
      </c>
      <c r="F867" t="s">
        <v>44</v>
      </c>
      <c r="G867">
        <v>167.59</v>
      </c>
      <c r="H867">
        <v>120.23</v>
      </c>
      <c r="I867">
        <v>47.36</v>
      </c>
      <c r="J867">
        <v>9</v>
      </c>
      <c r="K867">
        <v>4</v>
      </c>
      <c r="L867" t="s">
        <v>29</v>
      </c>
      <c r="M867" t="s">
        <v>111</v>
      </c>
      <c r="N867">
        <v>4</v>
      </c>
      <c r="O867" t="s">
        <v>56</v>
      </c>
    </row>
    <row r="868" spans="1:15" x14ac:dyDescent="0.3">
      <c r="A868" t="s">
        <v>1505</v>
      </c>
      <c r="B868" s="3">
        <v>45535</v>
      </c>
      <c r="C868" t="s">
        <v>42</v>
      </c>
      <c r="D868" t="s">
        <v>43</v>
      </c>
      <c r="E868" t="s">
        <v>35</v>
      </c>
      <c r="F868" t="s">
        <v>36</v>
      </c>
      <c r="G868">
        <v>4628.5600000000004</v>
      </c>
      <c r="H868">
        <v>4133.79</v>
      </c>
      <c r="I868">
        <v>494.77</v>
      </c>
      <c r="J868">
        <v>10</v>
      </c>
      <c r="K868">
        <v>2</v>
      </c>
      <c r="L868" t="s">
        <v>29</v>
      </c>
      <c r="M868" t="s">
        <v>32</v>
      </c>
      <c r="N868">
        <v>3</v>
      </c>
      <c r="O868" t="s">
        <v>56</v>
      </c>
    </row>
    <row r="869" spans="1:15" x14ac:dyDescent="0.3">
      <c r="A869" t="s">
        <v>1506</v>
      </c>
      <c r="B869" s="3">
        <v>45383</v>
      </c>
      <c r="C869" t="s">
        <v>33</v>
      </c>
      <c r="D869" t="s">
        <v>119</v>
      </c>
      <c r="E869" t="s">
        <v>19</v>
      </c>
      <c r="F869" t="s">
        <v>73</v>
      </c>
      <c r="G869">
        <v>3276.19</v>
      </c>
      <c r="H869">
        <v>2617.2199999999998</v>
      </c>
      <c r="I869">
        <v>658.97</v>
      </c>
      <c r="K869">
        <v>1</v>
      </c>
      <c r="L869" t="s">
        <v>22</v>
      </c>
      <c r="M869" t="s">
        <v>16</v>
      </c>
      <c r="N869">
        <v>2</v>
      </c>
      <c r="O869" t="s">
        <v>21</v>
      </c>
    </row>
    <row r="870" spans="1:15" x14ac:dyDescent="0.3">
      <c r="A870" t="s">
        <v>1507</v>
      </c>
      <c r="B870" s="3">
        <v>45620</v>
      </c>
      <c r="C870" t="s">
        <v>17</v>
      </c>
      <c r="D870" t="s">
        <v>226</v>
      </c>
      <c r="E870" t="s">
        <v>87</v>
      </c>
      <c r="F870" t="s">
        <v>20</v>
      </c>
      <c r="G870">
        <v>2404.88</v>
      </c>
      <c r="H870">
        <v>1713.5</v>
      </c>
      <c r="I870">
        <v>691.38</v>
      </c>
      <c r="K870">
        <v>4</v>
      </c>
      <c r="L870" t="s">
        <v>22</v>
      </c>
      <c r="M870" t="s">
        <v>111</v>
      </c>
      <c r="N870">
        <v>4</v>
      </c>
      <c r="O870" t="s">
        <v>21</v>
      </c>
    </row>
    <row r="871" spans="1:15" x14ac:dyDescent="0.3">
      <c r="A871" t="s">
        <v>1508</v>
      </c>
      <c r="B871" s="3">
        <v>45303</v>
      </c>
      <c r="C871" t="s">
        <v>7</v>
      </c>
      <c r="D871" t="s">
        <v>65</v>
      </c>
      <c r="E871" t="s">
        <v>84</v>
      </c>
      <c r="F871" t="s">
        <v>73</v>
      </c>
      <c r="G871">
        <v>1261.79</v>
      </c>
      <c r="H871">
        <v>927.42</v>
      </c>
      <c r="I871">
        <v>334.37</v>
      </c>
      <c r="K871">
        <v>4</v>
      </c>
      <c r="L871" t="s">
        <v>22</v>
      </c>
      <c r="M871" t="s">
        <v>25</v>
      </c>
      <c r="N871">
        <v>1</v>
      </c>
      <c r="O871" t="s">
        <v>21</v>
      </c>
    </row>
    <row r="872" spans="1:15" x14ac:dyDescent="0.3">
      <c r="A872" t="s">
        <v>1509</v>
      </c>
      <c r="B872" s="3">
        <v>45402</v>
      </c>
      <c r="C872" t="s">
        <v>33</v>
      </c>
      <c r="D872" t="s">
        <v>39</v>
      </c>
      <c r="E872" t="s">
        <v>35</v>
      </c>
      <c r="F872" t="s">
        <v>28</v>
      </c>
      <c r="G872">
        <v>1419.11</v>
      </c>
      <c r="H872">
        <v>987.23</v>
      </c>
      <c r="I872">
        <v>431.88</v>
      </c>
      <c r="K872">
        <v>3</v>
      </c>
      <c r="L872" t="s">
        <v>29</v>
      </c>
      <c r="M872" t="s">
        <v>16</v>
      </c>
      <c r="N872">
        <v>2</v>
      </c>
      <c r="O872" t="s">
        <v>21</v>
      </c>
    </row>
    <row r="873" spans="1:15" x14ac:dyDescent="0.3">
      <c r="A873" t="s">
        <v>1510</v>
      </c>
      <c r="B873" s="3">
        <v>45509</v>
      </c>
      <c r="C873" t="s">
        <v>17</v>
      </c>
      <c r="D873" t="s">
        <v>18</v>
      </c>
      <c r="E873" t="s">
        <v>40</v>
      </c>
      <c r="F873" t="s">
        <v>73</v>
      </c>
      <c r="G873">
        <v>2590.83</v>
      </c>
      <c r="H873">
        <v>1693.23</v>
      </c>
      <c r="I873">
        <v>897.6</v>
      </c>
      <c r="J873">
        <v>6</v>
      </c>
      <c r="K873">
        <v>1</v>
      </c>
      <c r="L873" t="s">
        <v>22</v>
      </c>
      <c r="M873" t="s">
        <v>32</v>
      </c>
      <c r="N873">
        <v>3</v>
      </c>
      <c r="O873" t="s">
        <v>56</v>
      </c>
    </row>
    <row r="874" spans="1:15" x14ac:dyDescent="0.3">
      <c r="A874" t="s">
        <v>1511</v>
      </c>
      <c r="B874" s="3">
        <v>45623</v>
      </c>
      <c r="C874" t="s">
        <v>33</v>
      </c>
      <c r="D874" t="s">
        <v>205</v>
      </c>
      <c r="E874" t="s">
        <v>40</v>
      </c>
      <c r="F874" t="s">
        <v>36</v>
      </c>
      <c r="G874">
        <v>1086.47</v>
      </c>
      <c r="H874">
        <v>809.65</v>
      </c>
      <c r="I874">
        <v>276.82</v>
      </c>
      <c r="K874">
        <v>4</v>
      </c>
      <c r="L874" t="s">
        <v>22</v>
      </c>
      <c r="M874" t="s">
        <v>111</v>
      </c>
      <c r="N874">
        <v>4</v>
      </c>
      <c r="O874" t="s">
        <v>21</v>
      </c>
    </row>
    <row r="875" spans="1:15" x14ac:dyDescent="0.3">
      <c r="A875" t="s">
        <v>1513</v>
      </c>
      <c r="B875" s="3">
        <v>45335</v>
      </c>
      <c r="C875" t="s">
        <v>17</v>
      </c>
      <c r="D875" t="s">
        <v>51</v>
      </c>
      <c r="E875" t="s">
        <v>19</v>
      </c>
      <c r="F875" t="s">
        <v>20</v>
      </c>
      <c r="G875">
        <v>273.85000000000002</v>
      </c>
      <c r="H875">
        <v>173.52</v>
      </c>
      <c r="I875">
        <v>100.33</v>
      </c>
      <c r="K875">
        <v>3</v>
      </c>
      <c r="L875" t="s">
        <v>22</v>
      </c>
      <c r="M875" t="s">
        <v>124</v>
      </c>
      <c r="N875">
        <v>1</v>
      </c>
      <c r="O875" t="s">
        <v>21</v>
      </c>
    </row>
    <row r="876" spans="1:15" x14ac:dyDescent="0.3">
      <c r="A876" t="s">
        <v>1514</v>
      </c>
      <c r="B876" s="3">
        <v>45491</v>
      </c>
      <c r="C876" t="s">
        <v>17</v>
      </c>
      <c r="D876" t="s">
        <v>1698</v>
      </c>
      <c r="E876" t="s">
        <v>27</v>
      </c>
      <c r="F876" t="s">
        <v>28</v>
      </c>
      <c r="G876">
        <v>2065.0500000000002</v>
      </c>
      <c r="H876">
        <v>1321.38</v>
      </c>
      <c r="I876">
        <v>743.67</v>
      </c>
      <c r="K876">
        <v>5</v>
      </c>
      <c r="L876" t="s">
        <v>29</v>
      </c>
      <c r="M876" t="s">
        <v>54</v>
      </c>
      <c r="N876">
        <v>3</v>
      </c>
      <c r="O876" t="s">
        <v>21</v>
      </c>
    </row>
    <row r="877" spans="1:15" x14ac:dyDescent="0.3">
      <c r="A877" t="s">
        <v>1515</v>
      </c>
      <c r="B877" s="3">
        <v>45512</v>
      </c>
      <c r="C877" t="s">
        <v>7</v>
      </c>
      <c r="D877" t="s">
        <v>134</v>
      </c>
      <c r="E877" t="s">
        <v>27</v>
      </c>
      <c r="F877" t="s">
        <v>44</v>
      </c>
      <c r="G877">
        <v>2509.13</v>
      </c>
      <c r="H877">
        <v>1971.39</v>
      </c>
      <c r="I877">
        <v>537.74</v>
      </c>
      <c r="K877">
        <v>4</v>
      </c>
      <c r="L877" t="s">
        <v>22</v>
      </c>
      <c r="M877" t="s">
        <v>32</v>
      </c>
      <c r="N877">
        <v>3</v>
      </c>
      <c r="O877" t="s">
        <v>21</v>
      </c>
    </row>
    <row r="878" spans="1:15" x14ac:dyDescent="0.3">
      <c r="A878" t="s">
        <v>1517</v>
      </c>
      <c r="B878" s="3">
        <v>45631</v>
      </c>
      <c r="C878" t="s">
        <v>33</v>
      </c>
      <c r="D878" t="s">
        <v>93</v>
      </c>
      <c r="E878" t="s">
        <v>27</v>
      </c>
      <c r="F878" t="s">
        <v>36</v>
      </c>
      <c r="G878">
        <v>3610.77</v>
      </c>
      <c r="H878">
        <v>2628.56</v>
      </c>
      <c r="I878">
        <v>982.21</v>
      </c>
      <c r="J878">
        <v>6</v>
      </c>
      <c r="K878">
        <v>3</v>
      </c>
      <c r="L878" t="s">
        <v>22</v>
      </c>
      <c r="M878" t="s">
        <v>179</v>
      </c>
      <c r="N878">
        <v>4</v>
      </c>
      <c r="O878" t="s">
        <v>56</v>
      </c>
    </row>
    <row r="879" spans="1:15" x14ac:dyDescent="0.3">
      <c r="A879" t="s">
        <v>1519</v>
      </c>
      <c r="B879" s="3">
        <v>45504</v>
      </c>
      <c r="C879" t="s">
        <v>59</v>
      </c>
      <c r="D879" t="s">
        <v>194</v>
      </c>
      <c r="E879" t="s">
        <v>87</v>
      </c>
      <c r="F879" t="s">
        <v>44</v>
      </c>
      <c r="G879">
        <v>625.15</v>
      </c>
      <c r="H879">
        <v>486.39</v>
      </c>
      <c r="I879">
        <v>138.76</v>
      </c>
      <c r="K879">
        <v>4</v>
      </c>
      <c r="L879" t="s">
        <v>22</v>
      </c>
      <c r="M879" t="s">
        <v>54</v>
      </c>
      <c r="N879">
        <v>3</v>
      </c>
      <c r="O879" t="s">
        <v>21</v>
      </c>
    </row>
    <row r="880" spans="1:15" x14ac:dyDescent="0.3">
      <c r="A880" t="s">
        <v>1520</v>
      </c>
      <c r="B880" s="3">
        <v>45306</v>
      </c>
      <c r="C880" t="s">
        <v>59</v>
      </c>
      <c r="D880" t="s">
        <v>155</v>
      </c>
      <c r="E880" t="s">
        <v>35</v>
      </c>
      <c r="F880" t="s">
        <v>36</v>
      </c>
      <c r="G880">
        <v>1292.1600000000001</v>
      </c>
      <c r="H880">
        <v>978.57</v>
      </c>
      <c r="I880">
        <v>313.58999999999997</v>
      </c>
      <c r="K880">
        <v>5</v>
      </c>
      <c r="L880" t="s">
        <v>22</v>
      </c>
      <c r="M880" t="s">
        <v>25</v>
      </c>
      <c r="N880">
        <v>1</v>
      </c>
      <c r="O880" t="s">
        <v>21</v>
      </c>
    </row>
    <row r="881" spans="1:15" x14ac:dyDescent="0.3">
      <c r="A881" t="s">
        <v>1521</v>
      </c>
      <c r="B881" s="3">
        <v>45393</v>
      </c>
      <c r="C881" t="s">
        <v>59</v>
      </c>
      <c r="D881" t="s">
        <v>194</v>
      </c>
      <c r="E881" t="s">
        <v>27</v>
      </c>
      <c r="F881" t="s">
        <v>44</v>
      </c>
      <c r="G881">
        <v>662.01</v>
      </c>
      <c r="H881">
        <v>490.3</v>
      </c>
      <c r="I881">
        <v>171.71</v>
      </c>
      <c r="K881">
        <v>3</v>
      </c>
      <c r="L881" t="s">
        <v>22</v>
      </c>
      <c r="M881" t="s">
        <v>16</v>
      </c>
      <c r="N881">
        <v>2</v>
      </c>
      <c r="O881" t="s">
        <v>21</v>
      </c>
    </row>
    <row r="882" spans="1:15" x14ac:dyDescent="0.3">
      <c r="A882" t="s">
        <v>1523</v>
      </c>
      <c r="B882" s="3">
        <v>45418</v>
      </c>
      <c r="C882" t="s">
        <v>7</v>
      </c>
      <c r="D882" t="s">
        <v>182</v>
      </c>
      <c r="E882" t="s">
        <v>40</v>
      </c>
      <c r="F882" t="s">
        <v>44</v>
      </c>
      <c r="G882">
        <v>969.72</v>
      </c>
      <c r="H882">
        <v>726.63</v>
      </c>
      <c r="I882">
        <v>243.09</v>
      </c>
      <c r="K882">
        <v>4</v>
      </c>
      <c r="L882" t="s">
        <v>22</v>
      </c>
      <c r="M882" t="s">
        <v>104</v>
      </c>
      <c r="N882">
        <v>2</v>
      </c>
      <c r="O882" t="s">
        <v>21</v>
      </c>
    </row>
    <row r="883" spans="1:15" x14ac:dyDescent="0.3">
      <c r="A883" t="s">
        <v>1524</v>
      </c>
      <c r="B883" s="3">
        <v>45482</v>
      </c>
      <c r="C883" t="s">
        <v>33</v>
      </c>
      <c r="D883" t="s">
        <v>34</v>
      </c>
      <c r="E883" t="s">
        <v>40</v>
      </c>
      <c r="F883" t="s">
        <v>28</v>
      </c>
      <c r="G883">
        <v>512.96</v>
      </c>
      <c r="H883">
        <v>312.11</v>
      </c>
      <c r="I883">
        <v>200.85</v>
      </c>
      <c r="K883">
        <v>4</v>
      </c>
      <c r="L883" t="s">
        <v>22</v>
      </c>
      <c r="M883" t="s">
        <v>54</v>
      </c>
      <c r="N883">
        <v>3</v>
      </c>
      <c r="O883" t="s">
        <v>21</v>
      </c>
    </row>
    <row r="884" spans="1:15" x14ac:dyDescent="0.3">
      <c r="A884" t="s">
        <v>1526</v>
      </c>
      <c r="B884" s="3">
        <v>45631</v>
      </c>
      <c r="C884" t="s">
        <v>33</v>
      </c>
      <c r="D884" t="s">
        <v>93</v>
      </c>
      <c r="E884" t="s">
        <v>27</v>
      </c>
      <c r="F884" t="s">
        <v>73</v>
      </c>
      <c r="G884">
        <v>3206.27</v>
      </c>
      <c r="H884">
        <v>1813.41</v>
      </c>
      <c r="I884">
        <v>1392.86</v>
      </c>
      <c r="J884">
        <v>1</v>
      </c>
      <c r="K884">
        <v>2</v>
      </c>
      <c r="L884" t="s">
        <v>29</v>
      </c>
      <c r="M884" t="s">
        <v>179</v>
      </c>
      <c r="N884">
        <v>4</v>
      </c>
      <c r="O884" t="s">
        <v>56</v>
      </c>
    </row>
    <row r="885" spans="1:15" x14ac:dyDescent="0.3">
      <c r="A885" t="s">
        <v>1528</v>
      </c>
      <c r="B885" s="3">
        <v>45452</v>
      </c>
      <c r="C885" t="s">
        <v>33</v>
      </c>
      <c r="D885" t="s">
        <v>297</v>
      </c>
      <c r="E885" t="s">
        <v>19</v>
      </c>
      <c r="F885" t="s">
        <v>44</v>
      </c>
      <c r="G885">
        <v>510.95</v>
      </c>
      <c r="H885">
        <v>315.97000000000003</v>
      </c>
      <c r="I885">
        <v>194.98</v>
      </c>
      <c r="K885">
        <v>4</v>
      </c>
      <c r="L885" t="s">
        <v>22</v>
      </c>
      <c r="M885" t="s">
        <v>64</v>
      </c>
      <c r="N885">
        <v>2</v>
      </c>
      <c r="O885" t="s">
        <v>21</v>
      </c>
    </row>
    <row r="886" spans="1:15" x14ac:dyDescent="0.3">
      <c r="A886" t="s">
        <v>1529</v>
      </c>
      <c r="B886" s="3">
        <v>45624</v>
      </c>
      <c r="C886" t="s">
        <v>17</v>
      </c>
      <c r="D886" t="s">
        <v>96</v>
      </c>
      <c r="E886" t="s">
        <v>87</v>
      </c>
      <c r="F886" t="s">
        <v>36</v>
      </c>
      <c r="G886">
        <v>1848.89</v>
      </c>
      <c r="H886">
        <v>1257.8800000000001</v>
      </c>
      <c r="I886">
        <v>591.01</v>
      </c>
      <c r="K886">
        <v>4</v>
      </c>
      <c r="L886" t="s">
        <v>29</v>
      </c>
      <c r="M886" t="s">
        <v>111</v>
      </c>
      <c r="N886">
        <v>4</v>
      </c>
      <c r="O886" t="s">
        <v>21</v>
      </c>
    </row>
    <row r="887" spans="1:15" x14ac:dyDescent="0.3">
      <c r="A887" t="s">
        <v>1530</v>
      </c>
      <c r="B887" s="3">
        <v>45585</v>
      </c>
      <c r="C887" t="s">
        <v>42</v>
      </c>
      <c r="D887" t="s">
        <v>47</v>
      </c>
      <c r="E887" t="s">
        <v>35</v>
      </c>
      <c r="F887" t="s">
        <v>421</v>
      </c>
      <c r="G887">
        <v>3159.14</v>
      </c>
      <c r="H887">
        <v>2501.75</v>
      </c>
      <c r="I887">
        <v>657.39</v>
      </c>
      <c r="J887">
        <v>10</v>
      </c>
      <c r="K887">
        <v>2</v>
      </c>
      <c r="L887" t="s">
        <v>22</v>
      </c>
      <c r="M887" t="s">
        <v>68</v>
      </c>
      <c r="N887">
        <v>4</v>
      </c>
      <c r="O887" t="s">
        <v>56</v>
      </c>
    </row>
    <row r="888" spans="1:15" x14ac:dyDescent="0.3">
      <c r="A888" t="s">
        <v>1531</v>
      </c>
      <c r="B888" s="3">
        <v>45590</v>
      </c>
      <c r="C888" t="s">
        <v>17</v>
      </c>
      <c r="D888" t="s">
        <v>96</v>
      </c>
      <c r="E888" t="s">
        <v>35</v>
      </c>
      <c r="F888" t="s">
        <v>36</v>
      </c>
      <c r="G888">
        <v>3807.67</v>
      </c>
      <c r="H888">
        <v>2722.15</v>
      </c>
      <c r="I888">
        <v>1085.52</v>
      </c>
      <c r="J888">
        <v>9</v>
      </c>
      <c r="K888">
        <v>2</v>
      </c>
      <c r="L888" t="s">
        <v>22</v>
      </c>
      <c r="M888" t="s">
        <v>68</v>
      </c>
      <c r="N888">
        <v>4</v>
      </c>
      <c r="O888" t="s">
        <v>56</v>
      </c>
    </row>
    <row r="889" spans="1:15" x14ac:dyDescent="0.3">
      <c r="A889" t="s">
        <v>1533</v>
      </c>
      <c r="B889" s="3">
        <v>45341</v>
      </c>
      <c r="C889" t="s">
        <v>17</v>
      </c>
      <c r="D889" t="s">
        <v>469</v>
      </c>
      <c r="E889" t="s">
        <v>1716</v>
      </c>
      <c r="F889" t="s">
        <v>1535</v>
      </c>
      <c r="G889">
        <v>272.23</v>
      </c>
      <c r="H889">
        <v>200.48</v>
      </c>
      <c r="I889">
        <v>71.75</v>
      </c>
      <c r="K889">
        <v>3</v>
      </c>
      <c r="L889" t="s">
        <v>22</v>
      </c>
      <c r="M889" t="s">
        <v>124</v>
      </c>
      <c r="N889">
        <v>1</v>
      </c>
      <c r="O889" t="s">
        <v>21</v>
      </c>
    </row>
    <row r="890" spans="1:15" x14ac:dyDescent="0.3">
      <c r="A890" t="s">
        <v>1536</v>
      </c>
      <c r="B890" s="3">
        <v>45498</v>
      </c>
      <c r="C890" t="s">
        <v>59</v>
      </c>
      <c r="D890" t="s">
        <v>155</v>
      </c>
      <c r="E890" t="s">
        <v>35</v>
      </c>
      <c r="F890" t="s">
        <v>28</v>
      </c>
      <c r="G890">
        <v>2683.33</v>
      </c>
      <c r="H890">
        <v>1949.55</v>
      </c>
      <c r="I890">
        <v>733.78</v>
      </c>
      <c r="K890">
        <v>4</v>
      </c>
      <c r="L890" t="s">
        <v>22</v>
      </c>
      <c r="M890" t="s">
        <v>54</v>
      </c>
      <c r="N890">
        <v>3</v>
      </c>
      <c r="O890" t="s">
        <v>21</v>
      </c>
    </row>
    <row r="891" spans="1:15" x14ac:dyDescent="0.3">
      <c r="A891" t="s">
        <v>1537</v>
      </c>
      <c r="B891" s="3">
        <v>45432</v>
      </c>
      <c r="C891" t="s">
        <v>42</v>
      </c>
      <c r="D891" t="s">
        <v>262</v>
      </c>
      <c r="E891" t="s">
        <v>40</v>
      </c>
      <c r="F891" t="s">
        <v>44</v>
      </c>
      <c r="G891">
        <v>3088.43</v>
      </c>
      <c r="H891">
        <v>2623.12</v>
      </c>
      <c r="I891">
        <v>465.31</v>
      </c>
      <c r="K891">
        <v>3</v>
      </c>
      <c r="L891" t="s">
        <v>22</v>
      </c>
      <c r="M891" t="s">
        <v>104</v>
      </c>
      <c r="N891">
        <v>2</v>
      </c>
      <c r="O891" t="s">
        <v>21</v>
      </c>
    </row>
    <row r="892" spans="1:15" x14ac:dyDescent="0.3">
      <c r="A892" t="s">
        <v>1539</v>
      </c>
      <c r="B892" s="3">
        <v>45327</v>
      </c>
      <c r="C892" t="s">
        <v>7</v>
      </c>
      <c r="D892" t="s">
        <v>65</v>
      </c>
      <c r="E892" t="s">
        <v>19</v>
      </c>
      <c r="F892" t="s">
        <v>44</v>
      </c>
      <c r="G892">
        <v>1246.99</v>
      </c>
      <c r="H892">
        <v>784.15</v>
      </c>
      <c r="I892">
        <v>462.84</v>
      </c>
      <c r="K892">
        <v>3</v>
      </c>
      <c r="L892" t="s">
        <v>22</v>
      </c>
      <c r="M892" t="s">
        <v>124</v>
      </c>
      <c r="N892">
        <v>1</v>
      </c>
      <c r="O892" t="s">
        <v>21</v>
      </c>
    </row>
    <row r="893" spans="1:15" x14ac:dyDescent="0.3">
      <c r="A893" t="s">
        <v>1542</v>
      </c>
      <c r="B893" s="3">
        <v>45392</v>
      </c>
      <c r="C893" t="s">
        <v>42</v>
      </c>
      <c r="D893" t="s">
        <v>43</v>
      </c>
      <c r="E893" t="s">
        <v>19</v>
      </c>
      <c r="F893" t="s">
        <v>36</v>
      </c>
      <c r="G893">
        <v>2613.3200000000002</v>
      </c>
      <c r="H893">
        <v>1834.57</v>
      </c>
      <c r="I893">
        <v>778.75</v>
      </c>
      <c r="K893">
        <v>3</v>
      </c>
      <c r="L893" t="s">
        <v>22</v>
      </c>
      <c r="M893" t="s">
        <v>16</v>
      </c>
      <c r="N893">
        <v>2</v>
      </c>
      <c r="O893" t="s">
        <v>21</v>
      </c>
    </row>
    <row r="894" spans="1:15" x14ac:dyDescent="0.3">
      <c r="A894" t="s">
        <v>1544</v>
      </c>
      <c r="B894" s="3">
        <v>45402</v>
      </c>
      <c r="C894" t="s">
        <v>59</v>
      </c>
      <c r="D894" t="s">
        <v>116</v>
      </c>
      <c r="E894" t="s">
        <v>84</v>
      </c>
      <c r="F894" t="s">
        <v>36</v>
      </c>
      <c r="G894">
        <v>2591.92</v>
      </c>
      <c r="H894">
        <v>1662.79</v>
      </c>
      <c r="I894">
        <v>929.13</v>
      </c>
      <c r="K894">
        <v>5</v>
      </c>
      <c r="L894" t="s">
        <v>22</v>
      </c>
      <c r="M894" t="s">
        <v>16</v>
      </c>
      <c r="N894">
        <v>2</v>
      </c>
      <c r="O894" t="s">
        <v>21</v>
      </c>
    </row>
    <row r="895" spans="1:15" x14ac:dyDescent="0.3">
      <c r="A895" t="s">
        <v>1545</v>
      </c>
      <c r="B895" s="3">
        <v>45523</v>
      </c>
      <c r="C895" t="s">
        <v>42</v>
      </c>
      <c r="D895" t="s">
        <v>43</v>
      </c>
      <c r="E895" t="s">
        <v>87</v>
      </c>
      <c r="F895" t="s">
        <v>20</v>
      </c>
      <c r="G895">
        <v>1070.92</v>
      </c>
      <c r="H895">
        <v>933.47</v>
      </c>
      <c r="I895">
        <v>137.44999999999999</v>
      </c>
      <c r="K895">
        <v>4</v>
      </c>
      <c r="L895" t="s">
        <v>22</v>
      </c>
      <c r="M895" t="s">
        <v>32</v>
      </c>
      <c r="N895">
        <v>3</v>
      </c>
      <c r="O895" t="s">
        <v>21</v>
      </c>
    </row>
    <row r="896" spans="1:15" x14ac:dyDescent="0.3">
      <c r="A896" t="s">
        <v>1546</v>
      </c>
      <c r="B896" s="3">
        <v>45369</v>
      </c>
      <c r="C896" t="s">
        <v>59</v>
      </c>
      <c r="D896" t="s">
        <v>301</v>
      </c>
      <c r="E896" t="s">
        <v>35</v>
      </c>
      <c r="F896" t="s">
        <v>44</v>
      </c>
      <c r="G896">
        <v>3358.37</v>
      </c>
      <c r="H896">
        <v>2225.36</v>
      </c>
      <c r="I896">
        <v>1133.01</v>
      </c>
      <c r="K896">
        <v>5</v>
      </c>
      <c r="L896" t="s">
        <v>29</v>
      </c>
      <c r="M896" t="s">
        <v>76</v>
      </c>
      <c r="N896">
        <v>1</v>
      </c>
      <c r="O896" t="s">
        <v>21</v>
      </c>
    </row>
    <row r="897" spans="1:15" x14ac:dyDescent="0.3">
      <c r="A897" t="s">
        <v>1548</v>
      </c>
      <c r="B897" s="3">
        <v>45565</v>
      </c>
      <c r="C897" t="s">
        <v>33</v>
      </c>
      <c r="D897" t="s">
        <v>34</v>
      </c>
      <c r="E897" t="s">
        <v>40</v>
      </c>
      <c r="F897" t="s">
        <v>36</v>
      </c>
      <c r="G897">
        <v>3035.69</v>
      </c>
      <c r="H897">
        <v>1703.77</v>
      </c>
      <c r="I897">
        <v>1331.92</v>
      </c>
      <c r="K897">
        <v>2</v>
      </c>
      <c r="L897" t="s">
        <v>22</v>
      </c>
      <c r="M897" t="s">
        <v>115</v>
      </c>
      <c r="N897">
        <v>3</v>
      </c>
      <c r="O897" t="s">
        <v>21</v>
      </c>
    </row>
    <row r="898" spans="1:15" x14ac:dyDescent="0.3">
      <c r="A898" t="s">
        <v>1549</v>
      </c>
      <c r="B898" s="3">
        <v>45447</v>
      </c>
      <c r="C898" t="s">
        <v>42</v>
      </c>
      <c r="D898" t="s">
        <v>80</v>
      </c>
      <c r="E898" t="s">
        <v>40</v>
      </c>
      <c r="F898" t="s">
        <v>36</v>
      </c>
      <c r="G898">
        <v>239.75</v>
      </c>
      <c r="H898">
        <v>212.22</v>
      </c>
      <c r="I898">
        <v>27.53</v>
      </c>
      <c r="K898">
        <v>4</v>
      </c>
      <c r="L898" t="s">
        <v>22</v>
      </c>
      <c r="M898" t="s">
        <v>64</v>
      </c>
      <c r="N898">
        <v>2</v>
      </c>
      <c r="O898" t="s">
        <v>21</v>
      </c>
    </row>
    <row r="899" spans="1:15" x14ac:dyDescent="0.3">
      <c r="A899" t="s">
        <v>1551</v>
      </c>
      <c r="B899" s="3">
        <v>45524</v>
      </c>
      <c r="C899" t="s">
        <v>7</v>
      </c>
      <c r="D899" t="s">
        <v>1698</v>
      </c>
      <c r="E899" t="s">
        <v>27</v>
      </c>
      <c r="F899" t="s">
        <v>44</v>
      </c>
      <c r="G899">
        <v>2921.31</v>
      </c>
      <c r="H899">
        <v>1967.61</v>
      </c>
      <c r="I899">
        <v>953.7</v>
      </c>
      <c r="K899">
        <v>5</v>
      </c>
      <c r="L899" t="s">
        <v>22</v>
      </c>
      <c r="M899" t="s">
        <v>32</v>
      </c>
      <c r="N899">
        <v>3</v>
      </c>
      <c r="O899" t="s">
        <v>21</v>
      </c>
    </row>
    <row r="900" spans="1:15" x14ac:dyDescent="0.3">
      <c r="A900" t="s">
        <v>1552</v>
      </c>
      <c r="B900" s="3">
        <v>45384</v>
      </c>
      <c r="C900" t="s">
        <v>59</v>
      </c>
      <c r="D900" t="s">
        <v>490</v>
      </c>
      <c r="E900" t="s">
        <v>87</v>
      </c>
      <c r="F900" t="s">
        <v>73</v>
      </c>
      <c r="G900">
        <v>2126.86</v>
      </c>
      <c r="H900">
        <v>1258.77</v>
      </c>
      <c r="I900">
        <v>868.09</v>
      </c>
      <c r="K900">
        <v>5</v>
      </c>
      <c r="L900" t="s">
        <v>22</v>
      </c>
      <c r="M900" t="s">
        <v>16</v>
      </c>
      <c r="N900">
        <v>2</v>
      </c>
      <c r="O900" t="s">
        <v>21</v>
      </c>
    </row>
    <row r="901" spans="1:15" x14ac:dyDescent="0.3">
      <c r="A901" t="s">
        <v>1554</v>
      </c>
      <c r="B901" s="3">
        <v>45345</v>
      </c>
      <c r="C901" t="s">
        <v>7</v>
      </c>
      <c r="D901" t="s">
        <v>128</v>
      </c>
      <c r="E901" t="s">
        <v>27</v>
      </c>
      <c r="F901" t="s">
        <v>44</v>
      </c>
      <c r="G901">
        <v>1477.84</v>
      </c>
      <c r="H901">
        <v>1005.91</v>
      </c>
      <c r="I901">
        <v>471.93</v>
      </c>
      <c r="J901">
        <v>2</v>
      </c>
      <c r="K901">
        <v>3</v>
      </c>
      <c r="L901" t="s">
        <v>22</v>
      </c>
      <c r="M901" t="s">
        <v>124</v>
      </c>
      <c r="N901">
        <v>1</v>
      </c>
      <c r="O901" t="s">
        <v>56</v>
      </c>
    </row>
    <row r="902" spans="1:15" x14ac:dyDescent="0.3">
      <c r="A902" t="s">
        <v>1555</v>
      </c>
      <c r="B902" s="3">
        <v>45511</v>
      </c>
      <c r="C902" t="s">
        <v>42</v>
      </c>
      <c r="D902" t="s">
        <v>80</v>
      </c>
      <c r="E902" t="s">
        <v>35</v>
      </c>
      <c r="F902" t="s">
        <v>73</v>
      </c>
      <c r="G902">
        <v>1501.37</v>
      </c>
      <c r="H902">
        <v>1369.81</v>
      </c>
      <c r="I902">
        <v>131.56</v>
      </c>
      <c r="J902">
        <v>11</v>
      </c>
      <c r="K902">
        <v>4</v>
      </c>
      <c r="L902" t="s">
        <v>22</v>
      </c>
      <c r="M902" t="s">
        <v>32</v>
      </c>
      <c r="N902">
        <v>3</v>
      </c>
      <c r="O902" t="s">
        <v>56</v>
      </c>
    </row>
    <row r="903" spans="1:15" x14ac:dyDescent="0.3">
      <c r="A903" t="s">
        <v>1556</v>
      </c>
      <c r="B903" s="3">
        <v>45571</v>
      </c>
      <c r="C903" t="s">
        <v>59</v>
      </c>
      <c r="D903" t="s">
        <v>194</v>
      </c>
      <c r="E903" t="s">
        <v>84</v>
      </c>
      <c r="F903" t="s">
        <v>73</v>
      </c>
      <c r="G903">
        <v>1850.24</v>
      </c>
      <c r="H903">
        <v>1462.81</v>
      </c>
      <c r="I903">
        <v>387.43</v>
      </c>
      <c r="K903">
        <v>4</v>
      </c>
      <c r="L903" t="s">
        <v>29</v>
      </c>
      <c r="M903" t="s">
        <v>68</v>
      </c>
      <c r="N903">
        <v>4</v>
      </c>
      <c r="O903" t="s">
        <v>21</v>
      </c>
    </row>
    <row r="904" spans="1:15" x14ac:dyDescent="0.3">
      <c r="A904" t="s">
        <v>1557</v>
      </c>
      <c r="B904" s="3">
        <v>45586</v>
      </c>
      <c r="C904" t="s">
        <v>59</v>
      </c>
      <c r="D904" t="s">
        <v>490</v>
      </c>
      <c r="E904" t="s">
        <v>19</v>
      </c>
      <c r="F904" t="s">
        <v>20</v>
      </c>
      <c r="G904">
        <v>3408.62</v>
      </c>
      <c r="H904">
        <v>2471.2199999999998</v>
      </c>
      <c r="I904">
        <v>937.4</v>
      </c>
      <c r="K904">
        <v>5</v>
      </c>
      <c r="L904" t="s">
        <v>22</v>
      </c>
      <c r="M904" t="s">
        <v>68</v>
      </c>
      <c r="N904">
        <v>4</v>
      </c>
      <c r="O904" t="s">
        <v>21</v>
      </c>
    </row>
    <row r="905" spans="1:15" x14ac:dyDescent="0.3">
      <c r="A905" t="s">
        <v>1559</v>
      </c>
      <c r="B905" s="3">
        <v>45428</v>
      </c>
      <c r="C905" t="s">
        <v>33</v>
      </c>
      <c r="D905" t="s">
        <v>119</v>
      </c>
      <c r="E905" t="s">
        <v>40</v>
      </c>
      <c r="F905" t="s">
        <v>44</v>
      </c>
      <c r="G905">
        <v>374.2</v>
      </c>
      <c r="H905">
        <v>242.25</v>
      </c>
      <c r="I905">
        <v>131.94999999999999</v>
      </c>
      <c r="K905">
        <v>3</v>
      </c>
      <c r="L905" t="s">
        <v>22</v>
      </c>
      <c r="M905" t="s">
        <v>104</v>
      </c>
      <c r="N905">
        <v>2</v>
      </c>
      <c r="O905" t="s">
        <v>21</v>
      </c>
    </row>
    <row r="906" spans="1:15" x14ac:dyDescent="0.3">
      <c r="A906" t="s">
        <v>1560</v>
      </c>
      <c r="B906" s="3">
        <v>45601</v>
      </c>
      <c r="C906" t="s">
        <v>17</v>
      </c>
      <c r="D906" t="s">
        <v>51</v>
      </c>
      <c r="E906" t="s">
        <v>35</v>
      </c>
      <c r="F906" t="s">
        <v>44</v>
      </c>
      <c r="G906">
        <v>2956.88</v>
      </c>
      <c r="H906">
        <v>2270.9499999999998</v>
      </c>
      <c r="I906">
        <v>685.93</v>
      </c>
      <c r="J906">
        <v>3</v>
      </c>
      <c r="K906">
        <v>3</v>
      </c>
      <c r="L906" t="s">
        <v>22</v>
      </c>
      <c r="M906" t="s">
        <v>111</v>
      </c>
      <c r="N906">
        <v>4</v>
      </c>
      <c r="O906" t="s">
        <v>56</v>
      </c>
    </row>
    <row r="907" spans="1:15" x14ac:dyDescent="0.3">
      <c r="A907" t="s">
        <v>1562</v>
      </c>
      <c r="B907" s="3">
        <v>45411</v>
      </c>
      <c r="C907" t="s">
        <v>33</v>
      </c>
      <c r="D907" t="s">
        <v>39</v>
      </c>
      <c r="E907" t="s">
        <v>19</v>
      </c>
      <c r="F907" t="s">
        <v>28</v>
      </c>
      <c r="G907">
        <v>3248.13</v>
      </c>
      <c r="H907">
        <v>1816.42</v>
      </c>
      <c r="I907">
        <v>1431.71</v>
      </c>
      <c r="K907">
        <v>2</v>
      </c>
      <c r="L907" t="s">
        <v>22</v>
      </c>
      <c r="M907" t="s">
        <v>16</v>
      </c>
      <c r="N907">
        <v>2</v>
      </c>
      <c r="O907" t="s">
        <v>21</v>
      </c>
    </row>
    <row r="908" spans="1:15" x14ac:dyDescent="0.3">
      <c r="A908" t="s">
        <v>1563</v>
      </c>
      <c r="B908" s="3">
        <v>45606</v>
      </c>
      <c r="C908" t="s">
        <v>42</v>
      </c>
      <c r="D908" t="s">
        <v>47</v>
      </c>
      <c r="E908" t="s">
        <v>40</v>
      </c>
      <c r="F908" t="s">
        <v>44</v>
      </c>
      <c r="G908">
        <v>2020.18</v>
      </c>
      <c r="H908">
        <v>1688.83</v>
      </c>
      <c r="I908">
        <v>331.35</v>
      </c>
      <c r="K908">
        <v>5</v>
      </c>
      <c r="L908" t="s">
        <v>22</v>
      </c>
      <c r="M908" t="s">
        <v>111</v>
      </c>
      <c r="N908">
        <v>4</v>
      </c>
      <c r="O908" t="s">
        <v>21</v>
      </c>
    </row>
    <row r="909" spans="1:15" x14ac:dyDescent="0.3">
      <c r="A909" t="s">
        <v>1564</v>
      </c>
      <c r="B909" s="3">
        <v>45577</v>
      </c>
      <c r="C909" t="s">
        <v>33</v>
      </c>
      <c r="D909" t="s">
        <v>1698</v>
      </c>
      <c r="E909" t="s">
        <v>35</v>
      </c>
      <c r="F909" t="s">
        <v>44</v>
      </c>
      <c r="G909">
        <v>237.95</v>
      </c>
      <c r="H909">
        <v>186.14</v>
      </c>
      <c r="I909">
        <v>51.81</v>
      </c>
      <c r="J909">
        <v>8</v>
      </c>
      <c r="K909">
        <v>2</v>
      </c>
      <c r="L909" t="s">
        <v>29</v>
      </c>
      <c r="M909" t="s">
        <v>68</v>
      </c>
      <c r="N909">
        <v>4</v>
      </c>
      <c r="O909" t="s">
        <v>56</v>
      </c>
    </row>
    <row r="910" spans="1:15" x14ac:dyDescent="0.3">
      <c r="A910" t="s">
        <v>1565</v>
      </c>
      <c r="B910" s="3">
        <v>45409</v>
      </c>
      <c r="C910" t="s">
        <v>33</v>
      </c>
      <c r="D910" t="s">
        <v>119</v>
      </c>
      <c r="E910" t="s">
        <v>27</v>
      </c>
      <c r="F910" t="s">
        <v>44</v>
      </c>
      <c r="G910">
        <v>3187.93</v>
      </c>
      <c r="H910">
        <v>2529.7199999999998</v>
      </c>
      <c r="I910">
        <v>658.21</v>
      </c>
      <c r="K910">
        <v>2</v>
      </c>
      <c r="L910" t="s">
        <v>22</v>
      </c>
      <c r="M910" t="s">
        <v>16</v>
      </c>
      <c r="N910">
        <v>2</v>
      </c>
      <c r="O910" t="s">
        <v>21</v>
      </c>
    </row>
    <row r="911" spans="1:15" x14ac:dyDescent="0.3">
      <c r="A911" t="s">
        <v>1567</v>
      </c>
      <c r="B911" s="3">
        <v>45448</v>
      </c>
      <c r="C911" t="s">
        <v>7</v>
      </c>
      <c r="D911" t="s">
        <v>55</v>
      </c>
      <c r="E911" t="s">
        <v>84</v>
      </c>
      <c r="F911" t="s">
        <v>20</v>
      </c>
      <c r="G911">
        <v>1678.28</v>
      </c>
      <c r="H911">
        <v>1078.1400000000001</v>
      </c>
      <c r="I911">
        <v>600.14</v>
      </c>
      <c r="K911">
        <v>5</v>
      </c>
      <c r="L911" t="s">
        <v>22</v>
      </c>
      <c r="M911" t="s">
        <v>64</v>
      </c>
      <c r="N911">
        <v>2</v>
      </c>
      <c r="O911" t="s">
        <v>21</v>
      </c>
    </row>
    <row r="912" spans="1:15" x14ac:dyDescent="0.3">
      <c r="A912" t="s">
        <v>1569</v>
      </c>
      <c r="B912" s="3">
        <v>45593</v>
      </c>
      <c r="C912" t="s">
        <v>17</v>
      </c>
      <c r="D912" t="s">
        <v>18</v>
      </c>
      <c r="E912" t="s">
        <v>19</v>
      </c>
      <c r="F912" t="s">
        <v>20</v>
      </c>
      <c r="G912">
        <v>1151.17</v>
      </c>
      <c r="H912">
        <v>690.7</v>
      </c>
      <c r="I912">
        <v>460.47</v>
      </c>
      <c r="K912">
        <v>4</v>
      </c>
      <c r="L912" t="s">
        <v>22</v>
      </c>
      <c r="M912" t="s">
        <v>68</v>
      </c>
      <c r="N912">
        <v>4</v>
      </c>
      <c r="O912" t="s">
        <v>21</v>
      </c>
    </row>
    <row r="913" spans="1:15" x14ac:dyDescent="0.3">
      <c r="A913" t="s">
        <v>1570</v>
      </c>
      <c r="B913" s="3">
        <v>45516</v>
      </c>
      <c r="C913" t="s">
        <v>42</v>
      </c>
      <c r="D913" t="s">
        <v>43</v>
      </c>
      <c r="E913" t="s">
        <v>84</v>
      </c>
      <c r="F913" t="s">
        <v>73</v>
      </c>
      <c r="G913">
        <v>3349.55</v>
      </c>
      <c r="H913">
        <v>2542.4</v>
      </c>
      <c r="I913">
        <v>807.15</v>
      </c>
      <c r="K913">
        <v>3</v>
      </c>
      <c r="L913" t="s">
        <v>29</v>
      </c>
      <c r="M913" t="s">
        <v>32</v>
      </c>
      <c r="N913">
        <v>3</v>
      </c>
      <c r="O913" t="s">
        <v>21</v>
      </c>
    </row>
    <row r="914" spans="1:15" x14ac:dyDescent="0.3">
      <c r="A914" t="s">
        <v>1572</v>
      </c>
      <c r="B914" s="3">
        <v>45580</v>
      </c>
      <c r="C914" t="s">
        <v>17</v>
      </c>
      <c r="D914" t="s">
        <v>26</v>
      </c>
      <c r="E914" t="s">
        <v>87</v>
      </c>
      <c r="F914" t="s">
        <v>73</v>
      </c>
      <c r="G914">
        <v>955.58</v>
      </c>
      <c r="H914">
        <v>724.96</v>
      </c>
      <c r="I914">
        <v>230.62</v>
      </c>
      <c r="K914">
        <v>4</v>
      </c>
      <c r="L914" t="s">
        <v>22</v>
      </c>
      <c r="M914" t="s">
        <v>68</v>
      </c>
      <c r="N914">
        <v>4</v>
      </c>
      <c r="O914" t="s">
        <v>21</v>
      </c>
    </row>
    <row r="915" spans="1:15" x14ac:dyDescent="0.3">
      <c r="A915" t="s">
        <v>1574</v>
      </c>
      <c r="B915" s="3">
        <v>45573</v>
      </c>
      <c r="C915" t="s">
        <v>33</v>
      </c>
      <c r="D915" t="s">
        <v>297</v>
      </c>
      <c r="E915" t="s">
        <v>87</v>
      </c>
      <c r="F915" t="s">
        <v>28</v>
      </c>
      <c r="G915">
        <v>3282.95</v>
      </c>
      <c r="H915">
        <v>2519.91</v>
      </c>
      <c r="I915">
        <v>763.04</v>
      </c>
      <c r="K915">
        <v>3</v>
      </c>
      <c r="L915" t="s">
        <v>22</v>
      </c>
      <c r="M915" t="s">
        <v>68</v>
      </c>
      <c r="N915">
        <v>4</v>
      </c>
      <c r="O915" t="s">
        <v>21</v>
      </c>
    </row>
    <row r="916" spans="1:15" x14ac:dyDescent="0.3">
      <c r="A916" t="s">
        <v>1575</v>
      </c>
      <c r="B916" s="3">
        <v>45311</v>
      </c>
      <c r="C916" t="s">
        <v>7</v>
      </c>
      <c r="D916" t="s">
        <v>128</v>
      </c>
      <c r="E916" t="s">
        <v>19</v>
      </c>
      <c r="F916" t="s">
        <v>36</v>
      </c>
      <c r="G916">
        <v>1169.6199999999999</v>
      </c>
      <c r="H916">
        <v>787.34</v>
      </c>
      <c r="I916">
        <v>382.28</v>
      </c>
      <c r="K916">
        <v>4</v>
      </c>
      <c r="L916" t="s">
        <v>22</v>
      </c>
      <c r="M916" t="s">
        <v>25</v>
      </c>
      <c r="N916">
        <v>1</v>
      </c>
      <c r="O916" t="s">
        <v>21</v>
      </c>
    </row>
    <row r="917" spans="1:15" x14ac:dyDescent="0.3">
      <c r="A917" t="s">
        <v>1577</v>
      </c>
      <c r="B917" s="3">
        <v>45513</v>
      </c>
      <c r="C917" t="s">
        <v>42</v>
      </c>
      <c r="D917" t="s">
        <v>214</v>
      </c>
      <c r="E917" t="s">
        <v>27</v>
      </c>
      <c r="F917" t="s">
        <v>28</v>
      </c>
      <c r="G917">
        <v>3416.28</v>
      </c>
      <c r="H917">
        <v>2841.01</v>
      </c>
      <c r="I917">
        <v>575.27</v>
      </c>
      <c r="K917">
        <v>3</v>
      </c>
      <c r="L917" t="s">
        <v>22</v>
      </c>
      <c r="M917" t="s">
        <v>32</v>
      </c>
      <c r="N917">
        <v>3</v>
      </c>
      <c r="O917" t="s">
        <v>21</v>
      </c>
    </row>
    <row r="918" spans="1:15" x14ac:dyDescent="0.3">
      <c r="A918" t="s">
        <v>1579</v>
      </c>
      <c r="B918" s="3">
        <v>45573</v>
      </c>
      <c r="C918" t="s">
        <v>33</v>
      </c>
      <c r="D918" t="s">
        <v>93</v>
      </c>
      <c r="E918" t="s">
        <v>19</v>
      </c>
      <c r="F918" t="s">
        <v>73</v>
      </c>
      <c r="G918">
        <v>3252.59</v>
      </c>
      <c r="H918">
        <v>1995.54</v>
      </c>
      <c r="I918">
        <v>1257.05</v>
      </c>
      <c r="K918">
        <v>5</v>
      </c>
      <c r="L918" t="s">
        <v>22</v>
      </c>
      <c r="M918" t="s">
        <v>68</v>
      </c>
      <c r="N918">
        <v>4</v>
      </c>
      <c r="O918" t="s">
        <v>21</v>
      </c>
    </row>
    <row r="919" spans="1:15" x14ac:dyDescent="0.3">
      <c r="A919" t="s">
        <v>1580</v>
      </c>
      <c r="B919" s="3">
        <v>45493</v>
      </c>
      <c r="C919" t="s">
        <v>59</v>
      </c>
      <c r="D919" t="s">
        <v>60</v>
      </c>
      <c r="E919" t="s">
        <v>19</v>
      </c>
      <c r="F919" t="s">
        <v>20</v>
      </c>
      <c r="G919">
        <v>1693.3</v>
      </c>
      <c r="H919">
        <v>1098.1300000000001</v>
      </c>
      <c r="I919">
        <v>595.16999999999996</v>
      </c>
      <c r="K919">
        <v>4</v>
      </c>
      <c r="L919" t="s">
        <v>22</v>
      </c>
      <c r="M919" t="s">
        <v>54</v>
      </c>
      <c r="N919">
        <v>3</v>
      </c>
      <c r="O919" t="s">
        <v>21</v>
      </c>
    </row>
    <row r="920" spans="1:15" x14ac:dyDescent="0.3">
      <c r="A920" t="s">
        <v>1581</v>
      </c>
      <c r="B920" s="3">
        <v>45308</v>
      </c>
      <c r="C920" t="s">
        <v>42</v>
      </c>
      <c r="D920" t="s">
        <v>47</v>
      </c>
      <c r="E920" t="s">
        <v>27</v>
      </c>
      <c r="F920" t="s">
        <v>28</v>
      </c>
      <c r="G920">
        <v>2861.75</v>
      </c>
      <c r="H920">
        <v>2267.17</v>
      </c>
      <c r="I920">
        <v>594.58000000000004</v>
      </c>
      <c r="J920">
        <v>6</v>
      </c>
      <c r="K920">
        <v>3</v>
      </c>
      <c r="L920" t="s">
        <v>22</v>
      </c>
      <c r="M920" t="s">
        <v>25</v>
      </c>
      <c r="N920">
        <v>1</v>
      </c>
      <c r="O920" t="s">
        <v>56</v>
      </c>
    </row>
    <row r="921" spans="1:15" x14ac:dyDescent="0.3">
      <c r="A921" t="s">
        <v>1583</v>
      </c>
      <c r="B921" s="3">
        <v>45577</v>
      </c>
      <c r="C921" t="s">
        <v>7</v>
      </c>
      <c r="D921" t="s">
        <v>128</v>
      </c>
      <c r="E921" t="s">
        <v>35</v>
      </c>
      <c r="F921" t="s">
        <v>36</v>
      </c>
      <c r="G921">
        <v>3970.82</v>
      </c>
      <c r="H921">
        <v>2976.72</v>
      </c>
      <c r="I921">
        <v>994.1</v>
      </c>
      <c r="K921">
        <v>5</v>
      </c>
      <c r="L921" t="s">
        <v>22</v>
      </c>
      <c r="M921" t="s">
        <v>68</v>
      </c>
      <c r="N921">
        <v>4</v>
      </c>
      <c r="O921" t="s">
        <v>21</v>
      </c>
    </row>
    <row r="922" spans="1:15" x14ac:dyDescent="0.3">
      <c r="A922" t="s">
        <v>1584</v>
      </c>
      <c r="B922" s="3">
        <v>45431</v>
      </c>
      <c r="C922" t="s">
        <v>42</v>
      </c>
      <c r="D922" t="s">
        <v>262</v>
      </c>
      <c r="E922" t="s">
        <v>87</v>
      </c>
      <c r="F922" t="s">
        <v>73</v>
      </c>
      <c r="G922">
        <v>1249.31</v>
      </c>
      <c r="H922">
        <v>1014.37</v>
      </c>
      <c r="I922">
        <v>234.94</v>
      </c>
      <c r="K922">
        <v>2</v>
      </c>
      <c r="L922" t="s">
        <v>22</v>
      </c>
      <c r="M922" t="s">
        <v>104</v>
      </c>
      <c r="N922">
        <v>2</v>
      </c>
      <c r="O922" t="s">
        <v>21</v>
      </c>
    </row>
    <row r="923" spans="1:15" x14ac:dyDescent="0.3">
      <c r="A923" t="s">
        <v>1585</v>
      </c>
      <c r="B923" s="3">
        <v>45365</v>
      </c>
      <c r="C923" t="s">
        <v>17</v>
      </c>
      <c r="D923" t="s">
        <v>226</v>
      </c>
      <c r="E923" t="s">
        <v>19</v>
      </c>
      <c r="F923" t="s">
        <v>73</v>
      </c>
      <c r="G923">
        <v>1197.1500000000001</v>
      </c>
      <c r="H923">
        <v>873.43</v>
      </c>
      <c r="I923">
        <v>323.72000000000003</v>
      </c>
      <c r="K923">
        <v>4</v>
      </c>
      <c r="L923" t="s">
        <v>22</v>
      </c>
      <c r="M923" t="s">
        <v>76</v>
      </c>
      <c r="N923">
        <v>1</v>
      </c>
      <c r="O923" t="s">
        <v>21</v>
      </c>
    </row>
    <row r="924" spans="1:15" x14ac:dyDescent="0.3">
      <c r="A924" t="s">
        <v>1587</v>
      </c>
      <c r="B924" s="3">
        <v>45436</v>
      </c>
      <c r="C924" t="s">
        <v>42</v>
      </c>
      <c r="D924" t="s">
        <v>47</v>
      </c>
      <c r="E924" t="s">
        <v>35</v>
      </c>
      <c r="F924" t="s">
        <v>28</v>
      </c>
      <c r="G924">
        <v>981.56</v>
      </c>
      <c r="H924">
        <v>768.29</v>
      </c>
      <c r="I924">
        <v>213.27</v>
      </c>
      <c r="J924">
        <v>8</v>
      </c>
      <c r="K924">
        <v>3</v>
      </c>
      <c r="L924" t="s">
        <v>22</v>
      </c>
      <c r="M924" t="s">
        <v>104</v>
      </c>
      <c r="N924">
        <v>2</v>
      </c>
      <c r="O924" t="s">
        <v>56</v>
      </c>
    </row>
    <row r="925" spans="1:15" x14ac:dyDescent="0.3">
      <c r="A925" t="s">
        <v>1588</v>
      </c>
      <c r="B925" s="3">
        <v>45608</v>
      </c>
      <c r="C925" t="s">
        <v>7</v>
      </c>
      <c r="D925" t="s">
        <v>65</v>
      </c>
      <c r="E925" t="s">
        <v>87</v>
      </c>
      <c r="F925" t="s">
        <v>20</v>
      </c>
      <c r="G925">
        <v>1298.71</v>
      </c>
      <c r="H925">
        <v>949.8</v>
      </c>
      <c r="I925">
        <v>348.91</v>
      </c>
      <c r="K925">
        <v>3</v>
      </c>
      <c r="L925" t="s">
        <v>22</v>
      </c>
      <c r="M925" t="s">
        <v>111</v>
      </c>
      <c r="N925">
        <v>4</v>
      </c>
      <c r="O925" t="s">
        <v>21</v>
      </c>
    </row>
    <row r="926" spans="1:15" x14ac:dyDescent="0.3">
      <c r="A926" t="s">
        <v>1590</v>
      </c>
      <c r="B926" s="3">
        <v>45536</v>
      </c>
      <c r="C926" t="s">
        <v>42</v>
      </c>
      <c r="D926" t="s">
        <v>80</v>
      </c>
      <c r="E926" t="s">
        <v>19</v>
      </c>
      <c r="F926" t="s">
        <v>44</v>
      </c>
      <c r="G926">
        <v>1753.76</v>
      </c>
      <c r="H926">
        <v>1265.8499999999999</v>
      </c>
      <c r="I926">
        <v>487.91</v>
      </c>
      <c r="K926">
        <v>5</v>
      </c>
      <c r="L926" t="s">
        <v>29</v>
      </c>
      <c r="M926" t="s">
        <v>115</v>
      </c>
      <c r="N926">
        <v>3</v>
      </c>
      <c r="O926" t="s">
        <v>21</v>
      </c>
    </row>
    <row r="927" spans="1:15" x14ac:dyDescent="0.3">
      <c r="A927" t="s">
        <v>1592</v>
      </c>
      <c r="B927" s="3">
        <v>45502</v>
      </c>
      <c r="C927" t="s">
        <v>42</v>
      </c>
      <c r="D927" t="s">
        <v>1698</v>
      </c>
      <c r="E927" t="s">
        <v>27</v>
      </c>
      <c r="F927" t="s">
        <v>44</v>
      </c>
      <c r="G927">
        <v>3253.99</v>
      </c>
      <c r="H927">
        <v>2690.39</v>
      </c>
      <c r="I927">
        <v>563.6</v>
      </c>
      <c r="K927">
        <v>5</v>
      </c>
      <c r="L927" t="s">
        <v>29</v>
      </c>
      <c r="M927" t="s">
        <v>54</v>
      </c>
      <c r="N927">
        <v>3</v>
      </c>
      <c r="O927" t="s">
        <v>21</v>
      </c>
    </row>
    <row r="928" spans="1:15" x14ac:dyDescent="0.3">
      <c r="A928" t="s">
        <v>1593</v>
      </c>
      <c r="B928" s="3">
        <v>45594</v>
      </c>
      <c r="C928" t="s">
        <v>42</v>
      </c>
      <c r="D928" t="s">
        <v>43</v>
      </c>
      <c r="E928" t="s">
        <v>19</v>
      </c>
      <c r="F928" t="s">
        <v>20</v>
      </c>
      <c r="G928">
        <v>2256.84</v>
      </c>
      <c r="H928">
        <v>1653.63</v>
      </c>
      <c r="I928">
        <v>603.21</v>
      </c>
      <c r="J928">
        <v>8</v>
      </c>
      <c r="K928">
        <v>1</v>
      </c>
      <c r="L928" t="s">
        <v>29</v>
      </c>
      <c r="M928" t="s">
        <v>68</v>
      </c>
      <c r="N928">
        <v>4</v>
      </c>
      <c r="O928" t="s">
        <v>56</v>
      </c>
    </row>
    <row r="929" spans="1:15" x14ac:dyDescent="0.3">
      <c r="A929" t="s">
        <v>1594</v>
      </c>
      <c r="B929" s="3">
        <v>45379</v>
      </c>
      <c r="C929" t="s">
        <v>17</v>
      </c>
      <c r="D929" t="s">
        <v>72</v>
      </c>
      <c r="E929" t="s">
        <v>19</v>
      </c>
      <c r="F929" t="s">
        <v>44</v>
      </c>
      <c r="G929">
        <v>2404.5</v>
      </c>
      <c r="H929">
        <v>1476.18</v>
      </c>
      <c r="I929">
        <v>928.32</v>
      </c>
      <c r="K929">
        <v>3</v>
      </c>
      <c r="L929" t="s">
        <v>22</v>
      </c>
      <c r="M929" t="s">
        <v>76</v>
      </c>
      <c r="N929">
        <v>1</v>
      </c>
      <c r="O929" t="s">
        <v>21</v>
      </c>
    </row>
    <row r="930" spans="1:15" x14ac:dyDescent="0.3">
      <c r="A930" t="s">
        <v>1596</v>
      </c>
      <c r="B930" s="3">
        <v>45364</v>
      </c>
      <c r="C930" t="s">
        <v>7</v>
      </c>
      <c r="D930" t="s">
        <v>134</v>
      </c>
      <c r="E930" t="s">
        <v>40</v>
      </c>
      <c r="F930" t="s">
        <v>20</v>
      </c>
      <c r="G930">
        <v>2676.41</v>
      </c>
      <c r="H930">
        <v>1622.98</v>
      </c>
      <c r="I930">
        <v>1053.43</v>
      </c>
      <c r="K930">
        <v>4</v>
      </c>
      <c r="L930" t="s">
        <v>22</v>
      </c>
      <c r="M930" t="s">
        <v>76</v>
      </c>
      <c r="N930">
        <v>1</v>
      </c>
      <c r="O930" t="s">
        <v>21</v>
      </c>
    </row>
    <row r="931" spans="1:15" x14ac:dyDescent="0.3">
      <c r="A931" t="s">
        <v>1597</v>
      </c>
      <c r="B931" s="3">
        <v>45621</v>
      </c>
      <c r="C931" t="s">
        <v>17</v>
      </c>
      <c r="D931" t="s">
        <v>51</v>
      </c>
      <c r="E931" t="s">
        <v>27</v>
      </c>
      <c r="F931" t="s">
        <v>20</v>
      </c>
      <c r="G931">
        <v>1534.49</v>
      </c>
      <c r="H931">
        <v>1130.5</v>
      </c>
      <c r="I931">
        <v>403.99</v>
      </c>
      <c r="K931">
        <v>5</v>
      </c>
      <c r="L931" t="s">
        <v>29</v>
      </c>
      <c r="M931" t="s">
        <v>111</v>
      </c>
      <c r="N931">
        <v>4</v>
      </c>
      <c r="O931" t="s">
        <v>21</v>
      </c>
    </row>
    <row r="932" spans="1:15" x14ac:dyDescent="0.3">
      <c r="A932" t="s">
        <v>1598</v>
      </c>
      <c r="B932" s="3">
        <v>45427</v>
      </c>
      <c r="C932" t="s">
        <v>7</v>
      </c>
      <c r="D932" t="s">
        <v>182</v>
      </c>
      <c r="E932" t="s">
        <v>19</v>
      </c>
      <c r="F932" t="s">
        <v>44</v>
      </c>
      <c r="G932">
        <v>2362.4299999999998</v>
      </c>
      <c r="H932">
        <v>1392.1</v>
      </c>
      <c r="I932">
        <v>970.33</v>
      </c>
      <c r="K932">
        <v>4</v>
      </c>
      <c r="L932" t="s">
        <v>22</v>
      </c>
      <c r="M932" t="s">
        <v>104</v>
      </c>
      <c r="N932">
        <v>2</v>
      </c>
      <c r="O932" t="s">
        <v>21</v>
      </c>
    </row>
    <row r="933" spans="1:15" x14ac:dyDescent="0.3">
      <c r="A933" t="s">
        <v>1599</v>
      </c>
      <c r="B933" s="3">
        <v>45516</v>
      </c>
      <c r="C933" t="s">
        <v>42</v>
      </c>
      <c r="D933" t="s">
        <v>47</v>
      </c>
      <c r="E933" t="s">
        <v>1716</v>
      </c>
      <c r="F933" t="s">
        <v>28</v>
      </c>
      <c r="G933">
        <v>3398.28</v>
      </c>
      <c r="H933">
        <v>2953.88</v>
      </c>
      <c r="I933">
        <v>444.4</v>
      </c>
      <c r="J933">
        <v>10</v>
      </c>
      <c r="K933">
        <v>3</v>
      </c>
      <c r="L933" t="s">
        <v>29</v>
      </c>
      <c r="M933" t="s">
        <v>32</v>
      </c>
      <c r="N933">
        <v>3</v>
      </c>
      <c r="O933" t="s">
        <v>56</v>
      </c>
    </row>
    <row r="934" spans="1:15" x14ac:dyDescent="0.3">
      <c r="A934" t="s">
        <v>1600</v>
      </c>
      <c r="B934" s="3">
        <v>45325</v>
      </c>
      <c r="C934" t="s">
        <v>59</v>
      </c>
      <c r="D934" t="s">
        <v>308</v>
      </c>
      <c r="E934" t="s">
        <v>84</v>
      </c>
      <c r="F934" t="s">
        <v>20</v>
      </c>
      <c r="G934">
        <v>1604.4</v>
      </c>
      <c r="H934">
        <v>1222.48</v>
      </c>
      <c r="I934">
        <v>381.92</v>
      </c>
      <c r="K934">
        <v>5</v>
      </c>
      <c r="L934" t="s">
        <v>22</v>
      </c>
      <c r="M934" t="s">
        <v>124</v>
      </c>
      <c r="N934">
        <v>1</v>
      </c>
      <c r="O934" t="s">
        <v>21</v>
      </c>
    </row>
    <row r="935" spans="1:15" x14ac:dyDescent="0.3">
      <c r="A935" t="s">
        <v>1601</v>
      </c>
      <c r="B935" s="3">
        <v>45461</v>
      </c>
      <c r="C935" t="s">
        <v>7</v>
      </c>
      <c r="D935" t="s">
        <v>65</v>
      </c>
      <c r="E935" t="s">
        <v>27</v>
      </c>
      <c r="F935" t="s">
        <v>36</v>
      </c>
      <c r="G935">
        <v>3635.49</v>
      </c>
      <c r="H935">
        <v>2434.6999999999998</v>
      </c>
      <c r="I935">
        <v>1200.79</v>
      </c>
      <c r="K935">
        <v>4</v>
      </c>
      <c r="L935" t="s">
        <v>22</v>
      </c>
      <c r="M935" t="s">
        <v>64</v>
      </c>
      <c r="N935">
        <v>2</v>
      </c>
      <c r="O935" t="s">
        <v>21</v>
      </c>
    </row>
    <row r="936" spans="1:15" x14ac:dyDescent="0.3">
      <c r="A936" t="s">
        <v>1602</v>
      </c>
      <c r="B936" s="3">
        <v>45350</v>
      </c>
      <c r="C936" t="s">
        <v>33</v>
      </c>
      <c r="D936" t="s">
        <v>39</v>
      </c>
      <c r="E936" t="s">
        <v>40</v>
      </c>
      <c r="F936" t="s">
        <v>36</v>
      </c>
      <c r="G936">
        <v>636.37</v>
      </c>
      <c r="H936">
        <v>357.71</v>
      </c>
      <c r="I936">
        <v>278.66000000000003</v>
      </c>
      <c r="K936">
        <v>3</v>
      </c>
      <c r="L936" t="s">
        <v>22</v>
      </c>
      <c r="M936" t="s">
        <v>124</v>
      </c>
      <c r="N936">
        <v>1</v>
      </c>
      <c r="O936" t="s">
        <v>21</v>
      </c>
    </row>
    <row r="937" spans="1:15" x14ac:dyDescent="0.3">
      <c r="A937" t="s">
        <v>1604</v>
      </c>
      <c r="B937" s="3">
        <v>45524</v>
      </c>
      <c r="C937" t="s">
        <v>59</v>
      </c>
      <c r="D937" t="s">
        <v>60</v>
      </c>
      <c r="E937" t="s">
        <v>35</v>
      </c>
      <c r="F937" t="s">
        <v>28</v>
      </c>
      <c r="G937">
        <v>295.11</v>
      </c>
      <c r="H937">
        <v>216.94</v>
      </c>
      <c r="I937">
        <v>78.17</v>
      </c>
      <c r="J937">
        <v>3</v>
      </c>
      <c r="K937">
        <v>4</v>
      </c>
      <c r="L937" t="s">
        <v>22</v>
      </c>
      <c r="M937" t="s">
        <v>32</v>
      </c>
      <c r="N937">
        <v>3</v>
      </c>
      <c r="O937" t="s">
        <v>21</v>
      </c>
    </row>
    <row r="938" spans="1:15" x14ac:dyDescent="0.3">
      <c r="A938" t="s">
        <v>1605</v>
      </c>
      <c r="B938" s="3">
        <v>45539</v>
      </c>
      <c r="C938" t="s">
        <v>42</v>
      </c>
      <c r="D938" t="s">
        <v>77</v>
      </c>
      <c r="E938" t="s">
        <v>19</v>
      </c>
      <c r="F938" t="s">
        <v>73</v>
      </c>
      <c r="G938">
        <v>2603.6799999999998</v>
      </c>
      <c r="H938">
        <v>2122.52</v>
      </c>
      <c r="I938">
        <v>481.16</v>
      </c>
      <c r="J938">
        <v>6</v>
      </c>
      <c r="K938">
        <v>3</v>
      </c>
      <c r="L938" t="s">
        <v>22</v>
      </c>
      <c r="M938" t="s">
        <v>115</v>
      </c>
      <c r="N938">
        <v>3</v>
      </c>
      <c r="O938" t="s">
        <v>56</v>
      </c>
    </row>
    <row r="939" spans="1:15" x14ac:dyDescent="0.3">
      <c r="A939" t="s">
        <v>1606</v>
      </c>
      <c r="B939" s="3">
        <v>45463</v>
      </c>
      <c r="C939" t="s">
        <v>59</v>
      </c>
      <c r="D939" t="s">
        <v>108</v>
      </c>
      <c r="E939" t="s">
        <v>40</v>
      </c>
      <c r="F939" t="s">
        <v>36</v>
      </c>
      <c r="G939">
        <v>1007.99</v>
      </c>
      <c r="H939">
        <v>614.88</v>
      </c>
      <c r="I939">
        <v>393.11</v>
      </c>
      <c r="K939">
        <v>5</v>
      </c>
      <c r="L939" t="s">
        <v>22</v>
      </c>
      <c r="M939" t="s">
        <v>64</v>
      </c>
      <c r="N939">
        <v>2</v>
      </c>
      <c r="O939" t="s">
        <v>21</v>
      </c>
    </row>
    <row r="940" spans="1:15" x14ac:dyDescent="0.3">
      <c r="A940" t="s">
        <v>1607</v>
      </c>
      <c r="B940" s="3">
        <v>45655</v>
      </c>
      <c r="C940" t="s">
        <v>17</v>
      </c>
      <c r="D940" t="s">
        <v>96</v>
      </c>
      <c r="E940" t="s">
        <v>35</v>
      </c>
      <c r="F940" t="s">
        <v>44</v>
      </c>
      <c r="G940">
        <v>746.69</v>
      </c>
      <c r="H940">
        <v>488.74</v>
      </c>
      <c r="I940">
        <v>257.95</v>
      </c>
      <c r="K940">
        <v>4</v>
      </c>
      <c r="L940" t="s">
        <v>22</v>
      </c>
      <c r="M940" t="s">
        <v>179</v>
      </c>
      <c r="N940">
        <v>4</v>
      </c>
      <c r="O940" t="s">
        <v>21</v>
      </c>
    </row>
    <row r="941" spans="1:15" x14ac:dyDescent="0.3">
      <c r="A941" t="s">
        <v>1609</v>
      </c>
      <c r="B941" s="3">
        <v>45646</v>
      </c>
      <c r="C941" t="s">
        <v>42</v>
      </c>
      <c r="D941" t="s">
        <v>47</v>
      </c>
      <c r="E941" t="s">
        <v>19</v>
      </c>
      <c r="F941" t="s">
        <v>20</v>
      </c>
      <c r="G941">
        <v>3123.31</v>
      </c>
      <c r="H941">
        <v>2513.0500000000002</v>
      </c>
      <c r="I941">
        <v>610.26</v>
      </c>
      <c r="K941">
        <v>4</v>
      </c>
      <c r="L941" t="s">
        <v>22</v>
      </c>
      <c r="M941" t="s">
        <v>179</v>
      </c>
      <c r="N941">
        <v>4</v>
      </c>
      <c r="O941" t="s">
        <v>21</v>
      </c>
    </row>
    <row r="942" spans="1:15" x14ac:dyDescent="0.3">
      <c r="A942" t="s">
        <v>1610</v>
      </c>
      <c r="B942" s="3">
        <v>45596</v>
      </c>
      <c r="C942" t="s">
        <v>33</v>
      </c>
      <c r="D942" t="s">
        <v>1698</v>
      </c>
      <c r="E942" t="s">
        <v>27</v>
      </c>
      <c r="F942" t="s">
        <v>28</v>
      </c>
      <c r="G942">
        <v>2067.15</v>
      </c>
      <c r="H942">
        <v>1427.46</v>
      </c>
      <c r="I942">
        <v>639.69000000000005</v>
      </c>
      <c r="K942">
        <v>2</v>
      </c>
      <c r="L942" t="s">
        <v>22</v>
      </c>
      <c r="M942" t="s">
        <v>68</v>
      </c>
      <c r="N942">
        <v>4</v>
      </c>
      <c r="O942" t="s">
        <v>21</v>
      </c>
    </row>
    <row r="943" spans="1:15" x14ac:dyDescent="0.3">
      <c r="A943" t="s">
        <v>1612</v>
      </c>
      <c r="B943" s="3">
        <v>45583</v>
      </c>
      <c r="C943" t="s">
        <v>33</v>
      </c>
      <c r="D943" t="s">
        <v>34</v>
      </c>
      <c r="E943" t="s">
        <v>19</v>
      </c>
      <c r="F943" t="s">
        <v>44</v>
      </c>
      <c r="G943">
        <v>3095.45</v>
      </c>
      <c r="H943">
        <v>2058.63</v>
      </c>
      <c r="I943">
        <v>1036.82</v>
      </c>
      <c r="K943">
        <v>5</v>
      </c>
      <c r="L943" t="s">
        <v>22</v>
      </c>
      <c r="M943" t="s">
        <v>68</v>
      </c>
      <c r="N943">
        <v>4</v>
      </c>
      <c r="O943" t="s">
        <v>21</v>
      </c>
    </row>
    <row r="944" spans="1:15" x14ac:dyDescent="0.3">
      <c r="A944" t="s">
        <v>1613</v>
      </c>
      <c r="B944" s="3">
        <v>45617</v>
      </c>
      <c r="C944" t="s">
        <v>33</v>
      </c>
      <c r="D944" t="s">
        <v>205</v>
      </c>
      <c r="E944" t="s">
        <v>40</v>
      </c>
      <c r="F944" t="s">
        <v>36</v>
      </c>
      <c r="G944">
        <v>2193.87</v>
      </c>
      <c r="H944">
        <v>1427.73</v>
      </c>
      <c r="I944">
        <v>766.14</v>
      </c>
      <c r="K944">
        <v>3</v>
      </c>
      <c r="L944" t="s">
        <v>22</v>
      </c>
      <c r="M944" t="s">
        <v>111</v>
      </c>
      <c r="N944">
        <v>4</v>
      </c>
      <c r="O944" t="s">
        <v>21</v>
      </c>
    </row>
    <row r="945" spans="1:15" x14ac:dyDescent="0.3">
      <c r="A945" t="s">
        <v>1614</v>
      </c>
      <c r="B945" s="3">
        <v>45433</v>
      </c>
      <c r="C945" t="s">
        <v>42</v>
      </c>
      <c r="D945" t="s">
        <v>214</v>
      </c>
      <c r="E945" t="s">
        <v>87</v>
      </c>
      <c r="F945" t="s">
        <v>44</v>
      </c>
      <c r="G945">
        <v>1471.24</v>
      </c>
      <c r="H945">
        <v>1043.43</v>
      </c>
      <c r="I945">
        <v>427.81</v>
      </c>
      <c r="J945">
        <v>13</v>
      </c>
      <c r="K945">
        <v>1</v>
      </c>
      <c r="L945" t="s">
        <v>22</v>
      </c>
      <c r="M945" t="s">
        <v>104</v>
      </c>
      <c r="N945">
        <v>2</v>
      </c>
      <c r="O945" t="s">
        <v>56</v>
      </c>
    </row>
    <row r="946" spans="1:15" x14ac:dyDescent="0.3">
      <c r="A946" t="s">
        <v>1616</v>
      </c>
      <c r="B946" s="3">
        <v>45579</v>
      </c>
      <c r="C946" t="s">
        <v>42</v>
      </c>
      <c r="D946" t="s">
        <v>162</v>
      </c>
      <c r="E946" t="s">
        <v>40</v>
      </c>
      <c r="F946" t="s">
        <v>1535</v>
      </c>
      <c r="G946">
        <v>1532.47</v>
      </c>
      <c r="H946">
        <v>1213.1500000000001</v>
      </c>
      <c r="I946">
        <v>319.32</v>
      </c>
      <c r="K946">
        <v>4</v>
      </c>
      <c r="L946" t="s">
        <v>29</v>
      </c>
      <c r="M946" t="s">
        <v>68</v>
      </c>
      <c r="N946">
        <v>4</v>
      </c>
      <c r="O946" t="s">
        <v>21</v>
      </c>
    </row>
    <row r="947" spans="1:15" x14ac:dyDescent="0.3">
      <c r="A947" t="s">
        <v>1617</v>
      </c>
      <c r="B947" s="3">
        <v>45386</v>
      </c>
      <c r="C947" t="s">
        <v>59</v>
      </c>
      <c r="D947" t="s">
        <v>1698</v>
      </c>
      <c r="E947" t="s">
        <v>35</v>
      </c>
      <c r="F947" t="s">
        <v>36</v>
      </c>
      <c r="G947">
        <v>995.08</v>
      </c>
      <c r="H947">
        <v>669.51</v>
      </c>
      <c r="I947">
        <v>325.57</v>
      </c>
      <c r="K947">
        <v>1</v>
      </c>
      <c r="L947" t="s">
        <v>22</v>
      </c>
      <c r="M947" t="s">
        <v>16</v>
      </c>
      <c r="N947">
        <v>2</v>
      </c>
      <c r="O947" t="s">
        <v>21</v>
      </c>
    </row>
    <row r="948" spans="1:15" x14ac:dyDescent="0.3">
      <c r="A948" t="s">
        <v>1618</v>
      </c>
      <c r="B948" s="3">
        <v>45513</v>
      </c>
      <c r="C948" t="s">
        <v>7</v>
      </c>
      <c r="D948" t="s">
        <v>131</v>
      </c>
      <c r="E948" t="s">
        <v>40</v>
      </c>
      <c r="F948" t="s">
        <v>73</v>
      </c>
      <c r="G948">
        <v>666.05</v>
      </c>
      <c r="H948">
        <v>445.12</v>
      </c>
      <c r="I948">
        <v>220.93</v>
      </c>
      <c r="K948">
        <v>4</v>
      </c>
      <c r="L948" t="s">
        <v>22</v>
      </c>
      <c r="M948" t="s">
        <v>32</v>
      </c>
      <c r="N948">
        <v>3</v>
      </c>
      <c r="O948" t="s">
        <v>21</v>
      </c>
    </row>
    <row r="949" spans="1:15" x14ac:dyDescent="0.3">
      <c r="A949" t="s">
        <v>1620</v>
      </c>
      <c r="B949" s="3">
        <v>45447</v>
      </c>
      <c r="C949" t="s">
        <v>42</v>
      </c>
      <c r="D949" t="s">
        <v>80</v>
      </c>
      <c r="E949" t="s">
        <v>27</v>
      </c>
      <c r="F949" t="s">
        <v>36</v>
      </c>
      <c r="G949">
        <v>1578.87</v>
      </c>
      <c r="H949">
        <v>1319.49</v>
      </c>
      <c r="I949">
        <v>259.38</v>
      </c>
      <c r="K949">
        <v>4</v>
      </c>
      <c r="L949" t="s">
        <v>22</v>
      </c>
      <c r="M949" t="s">
        <v>64</v>
      </c>
      <c r="N949">
        <v>2</v>
      </c>
      <c r="O949" t="s">
        <v>21</v>
      </c>
    </row>
    <row r="950" spans="1:15" x14ac:dyDescent="0.3">
      <c r="A950" t="s">
        <v>1621</v>
      </c>
      <c r="B950" s="3">
        <v>45295</v>
      </c>
      <c r="C950" t="s">
        <v>33</v>
      </c>
      <c r="D950" t="s">
        <v>205</v>
      </c>
      <c r="E950" t="s">
        <v>35</v>
      </c>
      <c r="F950" t="s">
        <v>36</v>
      </c>
      <c r="G950">
        <v>1406.35</v>
      </c>
      <c r="H950">
        <v>845.72</v>
      </c>
      <c r="I950">
        <v>560.63</v>
      </c>
      <c r="K950">
        <v>4</v>
      </c>
      <c r="L950" t="s">
        <v>22</v>
      </c>
      <c r="M950" t="s">
        <v>25</v>
      </c>
      <c r="N950">
        <v>1</v>
      </c>
      <c r="O950" t="s">
        <v>21</v>
      </c>
    </row>
    <row r="951" spans="1:15" x14ac:dyDescent="0.3">
      <c r="A951" t="s">
        <v>1622</v>
      </c>
      <c r="B951" s="3">
        <v>45434</v>
      </c>
      <c r="C951" t="s">
        <v>59</v>
      </c>
      <c r="D951" t="s">
        <v>60</v>
      </c>
      <c r="E951" t="s">
        <v>87</v>
      </c>
      <c r="F951" t="s">
        <v>44</v>
      </c>
      <c r="G951">
        <v>2391.08</v>
      </c>
      <c r="H951">
        <v>1443.16</v>
      </c>
      <c r="I951">
        <v>947.92</v>
      </c>
      <c r="K951">
        <v>4</v>
      </c>
      <c r="L951" t="s">
        <v>22</v>
      </c>
      <c r="M951" t="s">
        <v>104</v>
      </c>
      <c r="N951">
        <v>2</v>
      </c>
      <c r="O951" t="s">
        <v>21</v>
      </c>
    </row>
    <row r="952" spans="1:15" x14ac:dyDescent="0.3">
      <c r="A952" t="s">
        <v>1624</v>
      </c>
      <c r="B952" s="3">
        <v>45465</v>
      </c>
      <c r="C952" t="s">
        <v>59</v>
      </c>
      <c r="D952" t="s">
        <v>301</v>
      </c>
      <c r="E952" t="s">
        <v>40</v>
      </c>
      <c r="F952" t="s">
        <v>73</v>
      </c>
      <c r="G952">
        <v>2424.31</v>
      </c>
      <c r="H952">
        <v>1365.11</v>
      </c>
      <c r="I952">
        <v>1059.2</v>
      </c>
      <c r="J952">
        <v>7</v>
      </c>
      <c r="K952">
        <v>2</v>
      </c>
      <c r="L952" t="s">
        <v>22</v>
      </c>
      <c r="M952" t="s">
        <v>64</v>
      </c>
      <c r="N952">
        <v>2</v>
      </c>
      <c r="O952" t="s">
        <v>56</v>
      </c>
    </row>
    <row r="953" spans="1:15" x14ac:dyDescent="0.3">
      <c r="A953" t="s">
        <v>1626</v>
      </c>
      <c r="B953" s="3">
        <v>45379</v>
      </c>
      <c r="C953" t="s">
        <v>17</v>
      </c>
      <c r="D953" t="s">
        <v>469</v>
      </c>
      <c r="E953" t="s">
        <v>87</v>
      </c>
      <c r="F953" t="s">
        <v>36</v>
      </c>
      <c r="G953">
        <v>2164.79</v>
      </c>
      <c r="H953">
        <v>1510.57</v>
      </c>
      <c r="I953">
        <v>654.22</v>
      </c>
      <c r="K953">
        <v>5</v>
      </c>
      <c r="L953" t="s">
        <v>22</v>
      </c>
      <c r="M953" t="s">
        <v>76</v>
      </c>
      <c r="N953">
        <v>1</v>
      </c>
      <c r="O953" t="s">
        <v>21</v>
      </c>
    </row>
    <row r="954" spans="1:15" x14ac:dyDescent="0.3">
      <c r="A954" t="s">
        <v>1627</v>
      </c>
      <c r="B954" s="3">
        <v>45468</v>
      </c>
      <c r="C954" t="s">
        <v>42</v>
      </c>
      <c r="D954" t="s">
        <v>214</v>
      </c>
      <c r="E954" t="s">
        <v>40</v>
      </c>
      <c r="F954" t="s">
        <v>36</v>
      </c>
      <c r="G954">
        <v>3752.52</v>
      </c>
      <c r="H954">
        <v>3167.37</v>
      </c>
      <c r="I954">
        <v>585.15</v>
      </c>
      <c r="J954">
        <v>3</v>
      </c>
      <c r="K954">
        <v>2</v>
      </c>
      <c r="L954" t="s">
        <v>22</v>
      </c>
      <c r="M954" t="s">
        <v>64</v>
      </c>
      <c r="N954">
        <v>2</v>
      </c>
      <c r="O954" t="s">
        <v>56</v>
      </c>
    </row>
    <row r="955" spans="1:15" x14ac:dyDescent="0.3">
      <c r="A955" t="s">
        <v>1629</v>
      </c>
      <c r="B955" s="3">
        <v>45581</v>
      </c>
      <c r="C955" t="s">
        <v>42</v>
      </c>
      <c r="D955" t="s">
        <v>262</v>
      </c>
      <c r="E955" t="s">
        <v>40</v>
      </c>
      <c r="F955" t="s">
        <v>36</v>
      </c>
      <c r="G955">
        <v>4928.3599999999997</v>
      </c>
      <c r="H955">
        <v>4499.1099999999997</v>
      </c>
      <c r="I955">
        <v>429.25</v>
      </c>
      <c r="K955">
        <v>4</v>
      </c>
      <c r="L955" t="s">
        <v>29</v>
      </c>
      <c r="M955" t="s">
        <v>68</v>
      </c>
      <c r="N955">
        <v>4</v>
      </c>
      <c r="O955" t="s">
        <v>21</v>
      </c>
    </row>
    <row r="956" spans="1:15" x14ac:dyDescent="0.3">
      <c r="A956" t="s">
        <v>1631</v>
      </c>
      <c r="B956" s="3">
        <v>45417</v>
      </c>
      <c r="C956" t="s">
        <v>42</v>
      </c>
      <c r="D956" t="s">
        <v>80</v>
      </c>
      <c r="E956" t="s">
        <v>84</v>
      </c>
      <c r="F956" t="s">
        <v>36</v>
      </c>
      <c r="G956">
        <v>2583.15</v>
      </c>
      <c r="H956">
        <v>2266.87</v>
      </c>
      <c r="I956">
        <v>316.27999999999997</v>
      </c>
      <c r="K956">
        <v>4</v>
      </c>
      <c r="L956" t="s">
        <v>22</v>
      </c>
      <c r="M956" t="s">
        <v>104</v>
      </c>
      <c r="N956">
        <v>2</v>
      </c>
      <c r="O956" t="s">
        <v>21</v>
      </c>
    </row>
    <row r="957" spans="1:15" x14ac:dyDescent="0.3">
      <c r="A957" t="s">
        <v>1632</v>
      </c>
      <c r="B957" s="3">
        <v>45636</v>
      </c>
      <c r="C957" t="s">
        <v>7</v>
      </c>
      <c r="D957" t="s">
        <v>134</v>
      </c>
      <c r="E957" t="s">
        <v>35</v>
      </c>
      <c r="F957" t="s">
        <v>28</v>
      </c>
      <c r="G957">
        <v>448.94</v>
      </c>
      <c r="H957">
        <v>259.57</v>
      </c>
      <c r="I957">
        <v>189.37</v>
      </c>
      <c r="J957">
        <v>2</v>
      </c>
      <c r="K957">
        <v>3</v>
      </c>
      <c r="L957" t="s">
        <v>29</v>
      </c>
      <c r="M957" t="s">
        <v>179</v>
      </c>
      <c r="N957">
        <v>4</v>
      </c>
      <c r="O957" t="s">
        <v>56</v>
      </c>
    </row>
    <row r="958" spans="1:15" x14ac:dyDescent="0.3">
      <c r="A958" t="s">
        <v>1634</v>
      </c>
      <c r="B958" s="3">
        <v>45567</v>
      </c>
      <c r="C958" t="s">
        <v>59</v>
      </c>
      <c r="D958" t="s">
        <v>194</v>
      </c>
      <c r="E958" t="s">
        <v>87</v>
      </c>
      <c r="F958" t="s">
        <v>36</v>
      </c>
      <c r="G958">
        <v>1898.81</v>
      </c>
      <c r="H958">
        <v>1508.95</v>
      </c>
      <c r="I958">
        <v>389.86</v>
      </c>
      <c r="K958">
        <v>4</v>
      </c>
      <c r="L958" t="s">
        <v>22</v>
      </c>
      <c r="M958" t="s">
        <v>68</v>
      </c>
      <c r="N958">
        <v>4</v>
      </c>
      <c r="O958" t="s">
        <v>21</v>
      </c>
    </row>
    <row r="959" spans="1:15" x14ac:dyDescent="0.3">
      <c r="A959" t="s">
        <v>1635</v>
      </c>
      <c r="B959" s="3">
        <v>45489</v>
      </c>
      <c r="C959" t="s">
        <v>33</v>
      </c>
      <c r="D959" t="s">
        <v>297</v>
      </c>
      <c r="E959" t="s">
        <v>84</v>
      </c>
      <c r="F959" t="s">
        <v>73</v>
      </c>
      <c r="G959">
        <v>497.15</v>
      </c>
      <c r="H959">
        <v>392.26</v>
      </c>
      <c r="I959">
        <v>104.89</v>
      </c>
      <c r="K959">
        <v>4</v>
      </c>
      <c r="L959" t="s">
        <v>29</v>
      </c>
      <c r="M959" t="s">
        <v>54</v>
      </c>
      <c r="N959">
        <v>3</v>
      </c>
      <c r="O959" t="s">
        <v>21</v>
      </c>
    </row>
    <row r="960" spans="1:15" x14ac:dyDescent="0.3">
      <c r="A960" t="s">
        <v>1637</v>
      </c>
      <c r="B960" s="3">
        <v>45382</v>
      </c>
      <c r="C960" t="s">
        <v>42</v>
      </c>
      <c r="D960" t="s">
        <v>77</v>
      </c>
      <c r="E960" t="s">
        <v>19</v>
      </c>
      <c r="F960" t="s">
        <v>1535</v>
      </c>
      <c r="G960">
        <v>3102.74</v>
      </c>
      <c r="H960">
        <v>2188.84</v>
      </c>
      <c r="I960">
        <v>913.9</v>
      </c>
      <c r="K960">
        <v>5</v>
      </c>
      <c r="L960" t="s">
        <v>22</v>
      </c>
      <c r="M960" t="s">
        <v>76</v>
      </c>
      <c r="N960">
        <v>1</v>
      </c>
      <c r="O960" t="s">
        <v>21</v>
      </c>
    </row>
    <row r="961" spans="1:15" x14ac:dyDescent="0.3">
      <c r="A961" t="s">
        <v>1638</v>
      </c>
      <c r="B961" s="3">
        <v>45593</v>
      </c>
      <c r="C961" t="s">
        <v>17</v>
      </c>
      <c r="D961" t="s">
        <v>18</v>
      </c>
      <c r="E961" t="s">
        <v>40</v>
      </c>
      <c r="F961" t="s">
        <v>36</v>
      </c>
      <c r="G961">
        <v>484.68</v>
      </c>
      <c r="H961">
        <v>351.35</v>
      </c>
      <c r="I961">
        <v>133.33000000000001</v>
      </c>
      <c r="K961">
        <v>5</v>
      </c>
      <c r="L961" t="s">
        <v>22</v>
      </c>
      <c r="M961" t="s">
        <v>68</v>
      </c>
      <c r="N961">
        <v>4</v>
      </c>
      <c r="O961" t="s">
        <v>21</v>
      </c>
    </row>
    <row r="962" spans="1:15" x14ac:dyDescent="0.3">
      <c r="A962" t="s">
        <v>1639</v>
      </c>
      <c r="B962" s="3">
        <v>45329</v>
      </c>
      <c r="C962" t="s">
        <v>33</v>
      </c>
      <c r="D962" t="s">
        <v>119</v>
      </c>
      <c r="E962" t="s">
        <v>35</v>
      </c>
      <c r="F962" t="s">
        <v>36</v>
      </c>
      <c r="G962">
        <v>780.35</v>
      </c>
      <c r="H962">
        <v>577.79</v>
      </c>
      <c r="I962">
        <v>202.56</v>
      </c>
      <c r="K962">
        <v>4</v>
      </c>
      <c r="L962" t="s">
        <v>22</v>
      </c>
      <c r="M962" t="s">
        <v>124</v>
      </c>
      <c r="N962">
        <v>1</v>
      </c>
      <c r="O962" t="s">
        <v>21</v>
      </c>
    </row>
    <row r="963" spans="1:15" x14ac:dyDescent="0.3">
      <c r="A963" t="s">
        <v>1641</v>
      </c>
      <c r="B963" s="3">
        <v>45518</v>
      </c>
      <c r="C963" t="s">
        <v>7</v>
      </c>
      <c r="D963" t="s">
        <v>128</v>
      </c>
      <c r="E963" t="s">
        <v>19</v>
      </c>
      <c r="F963" t="s">
        <v>36</v>
      </c>
      <c r="G963">
        <v>3736.8</v>
      </c>
      <c r="H963">
        <v>2736.08</v>
      </c>
      <c r="I963">
        <v>1000.72</v>
      </c>
      <c r="K963">
        <v>5</v>
      </c>
      <c r="L963" t="s">
        <v>22</v>
      </c>
      <c r="M963" t="s">
        <v>32</v>
      </c>
      <c r="N963">
        <v>3</v>
      </c>
      <c r="O963" t="s">
        <v>21</v>
      </c>
    </row>
    <row r="964" spans="1:15" x14ac:dyDescent="0.3">
      <c r="A964" t="s">
        <v>1642</v>
      </c>
      <c r="B964" s="3">
        <v>45649</v>
      </c>
      <c r="C964" t="s">
        <v>42</v>
      </c>
      <c r="D964" t="s">
        <v>262</v>
      </c>
      <c r="E964" t="s">
        <v>87</v>
      </c>
      <c r="F964" t="s">
        <v>28</v>
      </c>
      <c r="G964">
        <v>1718.72</v>
      </c>
      <c r="H964">
        <v>1375.37</v>
      </c>
      <c r="I964">
        <v>343.35</v>
      </c>
      <c r="K964">
        <v>3</v>
      </c>
      <c r="L964" t="s">
        <v>22</v>
      </c>
      <c r="M964" t="s">
        <v>179</v>
      </c>
      <c r="N964">
        <v>4</v>
      </c>
      <c r="O964" t="s">
        <v>21</v>
      </c>
    </row>
    <row r="965" spans="1:15" x14ac:dyDescent="0.3">
      <c r="A965" t="s">
        <v>1644</v>
      </c>
      <c r="B965" s="3">
        <v>45300</v>
      </c>
      <c r="C965" t="s">
        <v>42</v>
      </c>
      <c r="D965" t="s">
        <v>77</v>
      </c>
      <c r="E965" t="s">
        <v>27</v>
      </c>
      <c r="F965" t="s">
        <v>44</v>
      </c>
      <c r="G965">
        <v>1264.43</v>
      </c>
      <c r="H965">
        <v>1072.03</v>
      </c>
      <c r="I965">
        <v>192.4</v>
      </c>
      <c r="K965">
        <v>5</v>
      </c>
      <c r="L965" t="s">
        <v>22</v>
      </c>
      <c r="M965" t="s">
        <v>25</v>
      </c>
      <c r="N965">
        <v>1</v>
      </c>
      <c r="O965" t="s">
        <v>21</v>
      </c>
    </row>
    <row r="966" spans="1:15" x14ac:dyDescent="0.3">
      <c r="A966" t="s">
        <v>1646</v>
      </c>
      <c r="B966" s="3">
        <v>45512</v>
      </c>
      <c r="C966" t="s">
        <v>33</v>
      </c>
      <c r="D966" t="s">
        <v>297</v>
      </c>
      <c r="E966" t="s">
        <v>27</v>
      </c>
      <c r="F966" t="s">
        <v>36</v>
      </c>
      <c r="G966">
        <v>1269.1300000000001</v>
      </c>
      <c r="H966">
        <v>889.55</v>
      </c>
      <c r="I966">
        <v>379.58</v>
      </c>
      <c r="K966">
        <v>4</v>
      </c>
      <c r="L966" t="s">
        <v>29</v>
      </c>
      <c r="M966" t="s">
        <v>32</v>
      </c>
      <c r="N966">
        <v>3</v>
      </c>
      <c r="O966" t="s">
        <v>21</v>
      </c>
    </row>
    <row r="967" spans="1:15" x14ac:dyDescent="0.3">
      <c r="A967" t="s">
        <v>1647</v>
      </c>
      <c r="B967" s="3">
        <v>45327</v>
      </c>
      <c r="C967" t="s">
        <v>17</v>
      </c>
      <c r="D967" t="s">
        <v>96</v>
      </c>
      <c r="E967" t="s">
        <v>87</v>
      </c>
      <c r="F967" t="s">
        <v>20</v>
      </c>
      <c r="G967">
        <v>2975.46</v>
      </c>
      <c r="H967">
        <v>2084.06</v>
      </c>
      <c r="I967">
        <v>891.4</v>
      </c>
      <c r="K967">
        <v>5</v>
      </c>
      <c r="L967" t="s">
        <v>29</v>
      </c>
      <c r="M967" t="s">
        <v>124</v>
      </c>
      <c r="N967">
        <v>1</v>
      </c>
      <c r="O967" t="s">
        <v>21</v>
      </c>
    </row>
    <row r="968" spans="1:15" x14ac:dyDescent="0.3">
      <c r="A968" t="s">
        <v>1648</v>
      </c>
      <c r="B968" s="3">
        <v>45625</v>
      </c>
      <c r="C968" t="s">
        <v>17</v>
      </c>
      <c r="D968" t="s">
        <v>469</v>
      </c>
      <c r="E968" t="s">
        <v>35</v>
      </c>
      <c r="F968" t="s">
        <v>36</v>
      </c>
      <c r="G968">
        <v>5395.43</v>
      </c>
      <c r="H968">
        <v>4274.5200000000004</v>
      </c>
      <c r="I968">
        <v>1120.9100000000001</v>
      </c>
      <c r="J968">
        <v>8</v>
      </c>
      <c r="K968">
        <v>5</v>
      </c>
      <c r="L968" t="s">
        <v>29</v>
      </c>
      <c r="M968" t="s">
        <v>111</v>
      </c>
      <c r="N968">
        <v>4</v>
      </c>
      <c r="O968" t="s">
        <v>56</v>
      </c>
    </row>
    <row r="969" spans="1:15" x14ac:dyDescent="0.3">
      <c r="A969" t="s">
        <v>1649</v>
      </c>
      <c r="B969" s="3">
        <v>45478</v>
      </c>
      <c r="C969" t="s">
        <v>17</v>
      </c>
      <c r="D969" t="s">
        <v>469</v>
      </c>
      <c r="E969" t="s">
        <v>27</v>
      </c>
      <c r="F969" t="s">
        <v>36</v>
      </c>
      <c r="G969">
        <v>3813.96</v>
      </c>
      <c r="H969">
        <v>2450.69</v>
      </c>
      <c r="I969">
        <v>1363.27</v>
      </c>
      <c r="K969">
        <v>5</v>
      </c>
      <c r="L969" t="s">
        <v>29</v>
      </c>
      <c r="M969" t="s">
        <v>54</v>
      </c>
      <c r="N969">
        <v>3</v>
      </c>
      <c r="O969" t="s">
        <v>21</v>
      </c>
    </row>
    <row r="970" spans="1:15" x14ac:dyDescent="0.3">
      <c r="A970" t="s">
        <v>1651</v>
      </c>
      <c r="B970" s="3">
        <v>45468</v>
      </c>
      <c r="C970" t="s">
        <v>42</v>
      </c>
      <c r="D970" t="s">
        <v>262</v>
      </c>
      <c r="E970" t="s">
        <v>27</v>
      </c>
      <c r="F970" t="s">
        <v>44</v>
      </c>
      <c r="G970">
        <v>231.16</v>
      </c>
      <c r="H970">
        <v>170.21</v>
      </c>
      <c r="I970">
        <v>60.95</v>
      </c>
      <c r="K970">
        <v>5</v>
      </c>
      <c r="L970" t="s">
        <v>29</v>
      </c>
      <c r="M970" t="s">
        <v>64</v>
      </c>
      <c r="N970">
        <v>2</v>
      </c>
      <c r="O970" t="s">
        <v>21</v>
      </c>
    </row>
    <row r="971" spans="1:15" x14ac:dyDescent="0.3">
      <c r="A971" t="s">
        <v>1653</v>
      </c>
      <c r="B971" s="3">
        <v>45545</v>
      </c>
      <c r="C971" t="s">
        <v>59</v>
      </c>
      <c r="D971" t="s">
        <v>194</v>
      </c>
      <c r="E971" t="s">
        <v>35</v>
      </c>
      <c r="F971" t="s">
        <v>28</v>
      </c>
      <c r="G971">
        <v>1737.09</v>
      </c>
      <c r="H971">
        <v>1207.79</v>
      </c>
      <c r="I971">
        <v>529.29999999999995</v>
      </c>
      <c r="J971">
        <v>10</v>
      </c>
      <c r="K971">
        <v>2</v>
      </c>
      <c r="L971" t="s">
        <v>22</v>
      </c>
      <c r="M971" t="s">
        <v>115</v>
      </c>
      <c r="N971">
        <v>3</v>
      </c>
      <c r="O971" t="s">
        <v>56</v>
      </c>
    </row>
    <row r="972" spans="1:15" x14ac:dyDescent="0.3">
      <c r="A972" t="s">
        <v>1654</v>
      </c>
      <c r="B972" s="3">
        <v>45601</v>
      </c>
      <c r="C972" t="s">
        <v>42</v>
      </c>
      <c r="D972" t="s">
        <v>80</v>
      </c>
      <c r="E972" t="s">
        <v>87</v>
      </c>
      <c r="F972" t="s">
        <v>20</v>
      </c>
      <c r="G972">
        <v>1350.61</v>
      </c>
      <c r="H972">
        <v>1241.18</v>
      </c>
      <c r="I972">
        <v>109.43</v>
      </c>
      <c r="J972">
        <v>11</v>
      </c>
      <c r="L972" t="s">
        <v>29</v>
      </c>
      <c r="M972" t="s">
        <v>111</v>
      </c>
      <c r="N972">
        <v>4</v>
      </c>
      <c r="O972" t="s">
        <v>56</v>
      </c>
    </row>
    <row r="973" spans="1:15" x14ac:dyDescent="0.3">
      <c r="A973" t="s">
        <v>1655</v>
      </c>
      <c r="B973" s="3">
        <v>45386</v>
      </c>
      <c r="C973" t="s">
        <v>17</v>
      </c>
      <c r="D973" t="s">
        <v>226</v>
      </c>
      <c r="E973" t="s">
        <v>84</v>
      </c>
      <c r="F973" t="s">
        <v>558</v>
      </c>
      <c r="G973">
        <v>1022.69</v>
      </c>
      <c r="H973">
        <v>613.77</v>
      </c>
      <c r="I973">
        <v>408.92</v>
      </c>
      <c r="K973">
        <v>4</v>
      </c>
      <c r="L973" t="s">
        <v>22</v>
      </c>
      <c r="M973" t="s">
        <v>16</v>
      </c>
      <c r="N973">
        <v>2</v>
      </c>
      <c r="O973" t="s">
        <v>21</v>
      </c>
    </row>
    <row r="974" spans="1:15" x14ac:dyDescent="0.3">
      <c r="A974" t="s">
        <v>1656</v>
      </c>
      <c r="B974" s="3">
        <v>45527</v>
      </c>
      <c r="C974" t="s">
        <v>42</v>
      </c>
      <c r="D974" t="s">
        <v>83</v>
      </c>
      <c r="E974" t="s">
        <v>19</v>
      </c>
      <c r="F974" t="s">
        <v>28</v>
      </c>
      <c r="G974">
        <v>1321.36</v>
      </c>
      <c r="H974">
        <v>1163.48</v>
      </c>
      <c r="I974">
        <v>157.88</v>
      </c>
      <c r="J974">
        <v>11</v>
      </c>
      <c r="K974">
        <v>2</v>
      </c>
      <c r="L974" t="s">
        <v>29</v>
      </c>
      <c r="M974" t="s">
        <v>32</v>
      </c>
      <c r="N974">
        <v>3</v>
      </c>
      <c r="O974" t="s">
        <v>56</v>
      </c>
    </row>
    <row r="975" spans="1:15" x14ac:dyDescent="0.3">
      <c r="A975" t="s">
        <v>1657</v>
      </c>
      <c r="B975" s="3">
        <v>45419</v>
      </c>
      <c r="C975" t="s">
        <v>59</v>
      </c>
      <c r="D975" t="s">
        <v>490</v>
      </c>
      <c r="E975" t="s">
        <v>87</v>
      </c>
      <c r="F975" t="s">
        <v>44</v>
      </c>
      <c r="G975">
        <v>3464.95</v>
      </c>
      <c r="H975">
        <v>2087.61</v>
      </c>
      <c r="I975">
        <v>1377.34</v>
      </c>
      <c r="J975">
        <v>6</v>
      </c>
      <c r="K975">
        <v>2</v>
      </c>
      <c r="L975" t="s">
        <v>22</v>
      </c>
      <c r="M975" t="s">
        <v>104</v>
      </c>
      <c r="N975">
        <v>2</v>
      </c>
      <c r="O975" t="s">
        <v>56</v>
      </c>
    </row>
    <row r="976" spans="1:15" x14ac:dyDescent="0.3">
      <c r="A976" t="s">
        <v>1659</v>
      </c>
      <c r="B976" s="3">
        <v>45486</v>
      </c>
      <c r="C976" t="s">
        <v>59</v>
      </c>
      <c r="D976" t="s">
        <v>194</v>
      </c>
      <c r="E976" t="s">
        <v>19</v>
      </c>
      <c r="F976" t="s">
        <v>20</v>
      </c>
      <c r="G976">
        <v>2082.67</v>
      </c>
      <c r="H976">
        <v>1146.3399999999999</v>
      </c>
      <c r="I976">
        <v>936.33</v>
      </c>
      <c r="K976">
        <v>4</v>
      </c>
      <c r="L976" t="s">
        <v>22</v>
      </c>
      <c r="M976" t="s">
        <v>54</v>
      </c>
      <c r="N976">
        <v>3</v>
      </c>
      <c r="O976" t="s">
        <v>21</v>
      </c>
    </row>
    <row r="977" spans="1:15" x14ac:dyDescent="0.3">
      <c r="A977" t="s">
        <v>1661</v>
      </c>
      <c r="B977" s="3">
        <v>45610</v>
      </c>
      <c r="C977" t="s">
        <v>7</v>
      </c>
      <c r="D977" t="s">
        <v>134</v>
      </c>
      <c r="E977" t="s">
        <v>27</v>
      </c>
      <c r="F977" t="s">
        <v>73</v>
      </c>
      <c r="G977">
        <v>1815.6</v>
      </c>
      <c r="H977">
        <v>1083.0899999999999</v>
      </c>
      <c r="I977">
        <v>732.51</v>
      </c>
      <c r="K977">
        <v>4</v>
      </c>
      <c r="L977" t="s">
        <v>22</v>
      </c>
      <c r="M977" t="s">
        <v>111</v>
      </c>
      <c r="N977">
        <v>4</v>
      </c>
      <c r="O977" t="s">
        <v>21</v>
      </c>
    </row>
    <row r="978" spans="1:15" x14ac:dyDescent="0.3">
      <c r="A978" t="s">
        <v>1662</v>
      </c>
      <c r="B978" s="3">
        <v>45435</v>
      </c>
      <c r="C978" t="s">
        <v>59</v>
      </c>
      <c r="D978" t="s">
        <v>155</v>
      </c>
      <c r="E978" t="s">
        <v>87</v>
      </c>
      <c r="F978" t="s">
        <v>20</v>
      </c>
      <c r="G978">
        <v>2966.48</v>
      </c>
      <c r="H978">
        <v>1883.09</v>
      </c>
      <c r="I978">
        <v>1083.3900000000001</v>
      </c>
      <c r="L978" t="s">
        <v>22</v>
      </c>
      <c r="M978" t="s">
        <v>104</v>
      </c>
      <c r="N978">
        <v>2</v>
      </c>
      <c r="O978" t="s">
        <v>21</v>
      </c>
    </row>
    <row r="979" spans="1:15" x14ac:dyDescent="0.3">
      <c r="A979" t="s">
        <v>1664</v>
      </c>
      <c r="B979" s="3">
        <v>45571</v>
      </c>
      <c r="C979" t="s">
        <v>42</v>
      </c>
      <c r="D979" t="s">
        <v>83</v>
      </c>
      <c r="E979" t="s">
        <v>35</v>
      </c>
      <c r="F979" t="s">
        <v>28</v>
      </c>
      <c r="G979">
        <v>1824.38</v>
      </c>
      <c r="H979">
        <v>1662.16</v>
      </c>
      <c r="I979">
        <v>162.22</v>
      </c>
      <c r="J979">
        <v>8</v>
      </c>
      <c r="K979">
        <v>3</v>
      </c>
      <c r="L979" t="s">
        <v>29</v>
      </c>
      <c r="M979" t="s">
        <v>68</v>
      </c>
      <c r="N979">
        <v>4</v>
      </c>
      <c r="O979" t="s">
        <v>56</v>
      </c>
    </row>
    <row r="980" spans="1:15" x14ac:dyDescent="0.3">
      <c r="A980" t="s">
        <v>1665</v>
      </c>
      <c r="B980" s="3">
        <v>45407</v>
      </c>
      <c r="C980" t="s">
        <v>17</v>
      </c>
      <c r="D980" t="s">
        <v>26</v>
      </c>
      <c r="E980" t="s">
        <v>35</v>
      </c>
      <c r="F980" t="s">
        <v>28</v>
      </c>
      <c r="G980">
        <v>2657.84</v>
      </c>
      <c r="H980">
        <v>1546.42</v>
      </c>
      <c r="I980">
        <v>1111.42</v>
      </c>
      <c r="K980">
        <v>3</v>
      </c>
      <c r="L980" t="s">
        <v>22</v>
      </c>
      <c r="M980" t="s">
        <v>16</v>
      </c>
      <c r="N980">
        <v>2</v>
      </c>
      <c r="O980" t="s">
        <v>21</v>
      </c>
    </row>
    <row r="981" spans="1:15" x14ac:dyDescent="0.3">
      <c r="A981" t="s">
        <v>1667</v>
      </c>
      <c r="B981" s="3">
        <v>45311</v>
      </c>
      <c r="C981" t="s">
        <v>59</v>
      </c>
      <c r="D981" t="s">
        <v>308</v>
      </c>
      <c r="E981" t="s">
        <v>84</v>
      </c>
      <c r="F981" t="s">
        <v>44</v>
      </c>
      <c r="G981">
        <v>2212.08</v>
      </c>
      <c r="H981">
        <v>1416.67</v>
      </c>
      <c r="I981">
        <v>795.41</v>
      </c>
      <c r="K981">
        <v>5</v>
      </c>
      <c r="L981" t="s">
        <v>29</v>
      </c>
      <c r="M981" t="s">
        <v>25</v>
      </c>
      <c r="N981">
        <v>1</v>
      </c>
      <c r="O981" t="s">
        <v>21</v>
      </c>
    </row>
    <row r="982" spans="1:15" x14ac:dyDescent="0.3">
      <c r="A982" t="s">
        <v>1668</v>
      </c>
      <c r="B982" s="3">
        <v>45628</v>
      </c>
      <c r="C982" t="s">
        <v>42</v>
      </c>
      <c r="D982" t="s">
        <v>47</v>
      </c>
      <c r="E982" t="s">
        <v>19</v>
      </c>
      <c r="F982" t="s">
        <v>36</v>
      </c>
      <c r="G982">
        <v>1376.25</v>
      </c>
      <c r="H982">
        <v>1202.94</v>
      </c>
      <c r="I982">
        <v>173.31</v>
      </c>
      <c r="K982">
        <v>4</v>
      </c>
      <c r="L982" t="s">
        <v>22</v>
      </c>
      <c r="M982" t="s">
        <v>179</v>
      </c>
      <c r="N982">
        <v>4</v>
      </c>
      <c r="O982" t="s">
        <v>21</v>
      </c>
    </row>
    <row r="983" spans="1:15" x14ac:dyDescent="0.3">
      <c r="A983" t="s">
        <v>1670</v>
      </c>
      <c r="B983" s="3">
        <v>45517</v>
      </c>
      <c r="C983" t="s">
        <v>42</v>
      </c>
      <c r="D983" t="s">
        <v>47</v>
      </c>
      <c r="E983" t="s">
        <v>19</v>
      </c>
      <c r="F983" t="s">
        <v>20</v>
      </c>
      <c r="G983">
        <v>2320.4499999999998</v>
      </c>
      <c r="H983">
        <v>1734.57</v>
      </c>
      <c r="I983">
        <v>585.88</v>
      </c>
      <c r="J983">
        <v>13</v>
      </c>
      <c r="K983">
        <v>2</v>
      </c>
      <c r="L983" t="s">
        <v>22</v>
      </c>
      <c r="M983" t="s">
        <v>32</v>
      </c>
      <c r="N983">
        <v>3</v>
      </c>
      <c r="O983" t="s">
        <v>56</v>
      </c>
    </row>
    <row r="984" spans="1:15" x14ac:dyDescent="0.3">
      <c r="A984" t="s">
        <v>1671</v>
      </c>
      <c r="B984" s="3">
        <v>45597</v>
      </c>
      <c r="C984" t="s">
        <v>7</v>
      </c>
      <c r="D984" t="s">
        <v>134</v>
      </c>
      <c r="E984" t="s">
        <v>87</v>
      </c>
      <c r="F984" t="s">
        <v>176</v>
      </c>
      <c r="G984">
        <v>3006.11</v>
      </c>
      <c r="H984">
        <v>2218.8000000000002</v>
      </c>
      <c r="I984">
        <v>787.31</v>
      </c>
      <c r="K984">
        <v>4</v>
      </c>
      <c r="L984" t="s">
        <v>22</v>
      </c>
      <c r="M984" t="s">
        <v>111</v>
      </c>
      <c r="N984">
        <v>4</v>
      </c>
      <c r="O984" t="s">
        <v>21</v>
      </c>
    </row>
    <row r="985" spans="1:15" x14ac:dyDescent="0.3">
      <c r="A985" t="s">
        <v>1673</v>
      </c>
      <c r="B985" s="3">
        <v>45524</v>
      </c>
      <c r="C985" t="s">
        <v>59</v>
      </c>
      <c r="D985" t="s">
        <v>308</v>
      </c>
      <c r="E985" t="s">
        <v>84</v>
      </c>
      <c r="F985" t="s">
        <v>44</v>
      </c>
      <c r="G985">
        <v>2687.14</v>
      </c>
      <c r="H985">
        <v>1780.2</v>
      </c>
      <c r="I985">
        <v>906.94</v>
      </c>
      <c r="K985">
        <v>5</v>
      </c>
      <c r="L985" t="s">
        <v>22</v>
      </c>
      <c r="M985" t="s">
        <v>32</v>
      </c>
      <c r="N985">
        <v>3</v>
      </c>
      <c r="O985" t="s">
        <v>21</v>
      </c>
    </row>
    <row r="986" spans="1:15" x14ac:dyDescent="0.3">
      <c r="A986" t="s">
        <v>1675</v>
      </c>
      <c r="B986" s="3">
        <v>45434</v>
      </c>
      <c r="C986" t="s">
        <v>33</v>
      </c>
      <c r="D986" t="s">
        <v>105</v>
      </c>
      <c r="E986" t="s">
        <v>84</v>
      </c>
      <c r="F986" t="s">
        <v>44</v>
      </c>
      <c r="G986">
        <v>1699.06</v>
      </c>
      <c r="H986">
        <v>1127.73</v>
      </c>
      <c r="I986">
        <v>571.33000000000004</v>
      </c>
      <c r="K986">
        <v>5</v>
      </c>
      <c r="L986" t="s">
        <v>29</v>
      </c>
      <c r="M986" t="s">
        <v>104</v>
      </c>
      <c r="N986">
        <v>2</v>
      </c>
      <c r="O986" t="s">
        <v>21</v>
      </c>
    </row>
    <row r="987" spans="1:15" x14ac:dyDescent="0.3">
      <c r="A987" t="s">
        <v>1676</v>
      </c>
      <c r="B987" s="3">
        <v>45443</v>
      </c>
      <c r="C987" t="s">
        <v>42</v>
      </c>
      <c r="D987" t="s">
        <v>80</v>
      </c>
      <c r="E987" t="s">
        <v>27</v>
      </c>
      <c r="F987" t="s">
        <v>20</v>
      </c>
      <c r="G987">
        <v>1403.02</v>
      </c>
      <c r="H987">
        <v>1090.32</v>
      </c>
      <c r="I987">
        <v>312.7</v>
      </c>
      <c r="K987">
        <v>3</v>
      </c>
      <c r="L987" t="s">
        <v>29</v>
      </c>
      <c r="M987" t="s">
        <v>104</v>
      </c>
      <c r="N987">
        <v>2</v>
      </c>
      <c r="O987" t="s">
        <v>21</v>
      </c>
    </row>
    <row r="988" spans="1:15" x14ac:dyDescent="0.3">
      <c r="A988" t="s">
        <v>1677</v>
      </c>
      <c r="B988" s="3">
        <v>45493</v>
      </c>
      <c r="C988" t="s">
        <v>59</v>
      </c>
      <c r="D988" t="s">
        <v>116</v>
      </c>
      <c r="E988" t="s">
        <v>19</v>
      </c>
      <c r="F988" t="s">
        <v>36</v>
      </c>
      <c r="G988">
        <v>3010.64</v>
      </c>
      <c r="H988">
        <v>1943.52</v>
      </c>
      <c r="I988">
        <v>1067.1199999999999</v>
      </c>
      <c r="K988">
        <v>4</v>
      </c>
      <c r="L988" t="s">
        <v>22</v>
      </c>
      <c r="M988" t="s">
        <v>54</v>
      </c>
      <c r="N988">
        <v>3</v>
      </c>
      <c r="O988" t="s">
        <v>21</v>
      </c>
    </row>
    <row r="989" spans="1:15" x14ac:dyDescent="0.3">
      <c r="A989" t="s">
        <v>1678</v>
      </c>
      <c r="B989" s="3">
        <v>45599</v>
      </c>
      <c r="C989" t="s">
        <v>59</v>
      </c>
      <c r="D989" t="s">
        <v>108</v>
      </c>
      <c r="E989" t="s">
        <v>35</v>
      </c>
      <c r="F989" t="s">
        <v>97</v>
      </c>
      <c r="G989">
        <v>936.23</v>
      </c>
      <c r="H989">
        <v>540.48</v>
      </c>
      <c r="I989">
        <v>395.75</v>
      </c>
      <c r="J989">
        <v>7</v>
      </c>
      <c r="K989">
        <v>3</v>
      </c>
      <c r="L989" t="s">
        <v>22</v>
      </c>
      <c r="M989" t="s">
        <v>111</v>
      </c>
      <c r="N989">
        <v>4</v>
      </c>
      <c r="O989" t="s">
        <v>56</v>
      </c>
    </row>
    <row r="990" spans="1:15" x14ac:dyDescent="0.3">
      <c r="A990" t="s">
        <v>1680</v>
      </c>
      <c r="B990" s="3">
        <v>45484</v>
      </c>
      <c r="C990" t="s">
        <v>33</v>
      </c>
      <c r="D990" t="s">
        <v>171</v>
      </c>
      <c r="E990" t="s">
        <v>35</v>
      </c>
      <c r="F990" t="s">
        <v>28</v>
      </c>
      <c r="G990">
        <v>2182.1999999999998</v>
      </c>
      <c r="H990">
        <v>1675.05</v>
      </c>
      <c r="I990">
        <v>507.15</v>
      </c>
      <c r="J990">
        <v>3</v>
      </c>
      <c r="K990">
        <v>1</v>
      </c>
      <c r="L990" t="s">
        <v>22</v>
      </c>
      <c r="M990" t="s">
        <v>54</v>
      </c>
      <c r="N990">
        <v>3</v>
      </c>
      <c r="O990" t="s">
        <v>56</v>
      </c>
    </row>
    <row r="991" spans="1:15" x14ac:dyDescent="0.3">
      <c r="A991" t="s">
        <v>1682</v>
      </c>
      <c r="B991" s="3">
        <v>45547</v>
      </c>
      <c r="C991" t="s">
        <v>7</v>
      </c>
      <c r="D991" t="s">
        <v>128</v>
      </c>
      <c r="E991" t="s">
        <v>87</v>
      </c>
      <c r="F991" t="s">
        <v>28</v>
      </c>
      <c r="G991">
        <v>1884.45</v>
      </c>
      <c r="H991">
        <v>1466.83</v>
      </c>
      <c r="I991">
        <v>417.62</v>
      </c>
      <c r="K991">
        <v>4</v>
      </c>
      <c r="L991" t="s">
        <v>22</v>
      </c>
      <c r="M991" t="s">
        <v>115</v>
      </c>
      <c r="N991">
        <v>3</v>
      </c>
      <c r="O991" t="s">
        <v>21</v>
      </c>
    </row>
    <row r="992" spans="1:15" x14ac:dyDescent="0.3">
      <c r="A992" t="s">
        <v>1684</v>
      </c>
      <c r="B992" s="3">
        <v>45468</v>
      </c>
      <c r="C992" t="s">
        <v>17</v>
      </c>
      <c r="D992" t="s">
        <v>100</v>
      </c>
      <c r="E992" t="s">
        <v>40</v>
      </c>
      <c r="F992" t="s">
        <v>44</v>
      </c>
      <c r="G992">
        <v>1409.54</v>
      </c>
      <c r="H992">
        <v>842.34</v>
      </c>
      <c r="I992">
        <v>567.20000000000005</v>
      </c>
      <c r="J992">
        <v>5</v>
      </c>
      <c r="K992">
        <v>2</v>
      </c>
      <c r="L992" t="s">
        <v>22</v>
      </c>
      <c r="M992" t="s">
        <v>64</v>
      </c>
      <c r="N992">
        <v>2</v>
      </c>
      <c r="O992" t="s">
        <v>56</v>
      </c>
    </row>
    <row r="993" spans="1:15" x14ac:dyDescent="0.3">
      <c r="A993" t="s">
        <v>1685</v>
      </c>
      <c r="B993" s="3">
        <v>45509</v>
      </c>
      <c r="C993" t="s">
        <v>42</v>
      </c>
      <c r="D993" t="s">
        <v>83</v>
      </c>
      <c r="E993" t="s">
        <v>87</v>
      </c>
      <c r="F993" t="s">
        <v>28</v>
      </c>
      <c r="G993">
        <v>991.41</v>
      </c>
      <c r="H993">
        <v>869.48</v>
      </c>
      <c r="I993">
        <v>121.93</v>
      </c>
      <c r="K993">
        <v>5</v>
      </c>
      <c r="L993" t="s">
        <v>22</v>
      </c>
      <c r="M993" t="s">
        <v>32</v>
      </c>
      <c r="N993">
        <v>3</v>
      </c>
      <c r="O993" t="s">
        <v>21</v>
      </c>
    </row>
    <row r="994" spans="1:15" x14ac:dyDescent="0.3">
      <c r="A994" t="s">
        <v>1686</v>
      </c>
      <c r="B994" s="3">
        <v>45461</v>
      </c>
      <c r="C994" t="s">
        <v>42</v>
      </c>
      <c r="D994" t="s">
        <v>43</v>
      </c>
      <c r="E994" t="s">
        <v>27</v>
      </c>
      <c r="F994" t="s">
        <v>20</v>
      </c>
      <c r="G994">
        <v>935.59</v>
      </c>
      <c r="H994">
        <v>657.54</v>
      </c>
      <c r="I994">
        <v>278.05</v>
      </c>
      <c r="K994">
        <v>5</v>
      </c>
      <c r="L994" t="s">
        <v>29</v>
      </c>
      <c r="M994" t="s">
        <v>64</v>
      </c>
      <c r="N994">
        <v>2</v>
      </c>
      <c r="O994" t="s">
        <v>21</v>
      </c>
    </row>
    <row r="995" spans="1:15" x14ac:dyDescent="0.3">
      <c r="A995" t="s">
        <v>1687</v>
      </c>
      <c r="B995" s="3">
        <v>45563</v>
      </c>
      <c r="C995" t="s">
        <v>17</v>
      </c>
      <c r="D995" t="s">
        <v>100</v>
      </c>
      <c r="E995" t="s">
        <v>40</v>
      </c>
      <c r="F995" t="s">
        <v>36</v>
      </c>
      <c r="G995">
        <v>3844.52</v>
      </c>
      <c r="H995">
        <v>3005.67</v>
      </c>
      <c r="I995">
        <v>838.85</v>
      </c>
      <c r="K995">
        <v>4</v>
      </c>
      <c r="L995" t="s">
        <v>22</v>
      </c>
      <c r="M995" t="s">
        <v>115</v>
      </c>
      <c r="N995">
        <v>3</v>
      </c>
      <c r="O995" t="s">
        <v>21</v>
      </c>
    </row>
    <row r="996" spans="1:15" x14ac:dyDescent="0.3">
      <c r="A996" t="s">
        <v>1688</v>
      </c>
      <c r="B996" s="3">
        <v>45636</v>
      </c>
      <c r="C996" t="s">
        <v>33</v>
      </c>
      <c r="D996" t="s">
        <v>39</v>
      </c>
      <c r="E996" t="s">
        <v>35</v>
      </c>
      <c r="F996" t="s">
        <v>20</v>
      </c>
      <c r="G996">
        <v>2901.76</v>
      </c>
      <c r="H996">
        <v>2014</v>
      </c>
      <c r="I996">
        <v>887.76</v>
      </c>
      <c r="K996">
        <v>5</v>
      </c>
      <c r="L996" t="s">
        <v>29</v>
      </c>
      <c r="M996" t="s">
        <v>179</v>
      </c>
      <c r="N996">
        <v>4</v>
      </c>
      <c r="O996" t="s">
        <v>21</v>
      </c>
    </row>
    <row r="997" spans="1:15" x14ac:dyDescent="0.3">
      <c r="A997" t="s">
        <v>1689</v>
      </c>
      <c r="B997" s="3">
        <v>45567</v>
      </c>
      <c r="C997" t="s">
        <v>17</v>
      </c>
      <c r="D997" t="s">
        <v>469</v>
      </c>
      <c r="E997" t="s">
        <v>87</v>
      </c>
      <c r="F997" t="s">
        <v>44</v>
      </c>
      <c r="G997">
        <v>2450.9699999999998</v>
      </c>
      <c r="H997">
        <v>1924.17</v>
      </c>
      <c r="I997">
        <v>526.79999999999995</v>
      </c>
      <c r="K997">
        <v>5</v>
      </c>
      <c r="L997" t="s">
        <v>22</v>
      </c>
      <c r="M997" t="s">
        <v>68</v>
      </c>
      <c r="N997">
        <v>4</v>
      </c>
      <c r="O997" t="s">
        <v>21</v>
      </c>
    </row>
    <row r="998" spans="1:15" x14ac:dyDescent="0.3">
      <c r="A998" t="s">
        <v>1691</v>
      </c>
      <c r="B998" s="3">
        <v>45651</v>
      </c>
      <c r="C998" t="s">
        <v>33</v>
      </c>
      <c r="D998" t="s">
        <v>297</v>
      </c>
      <c r="E998" t="s">
        <v>35</v>
      </c>
      <c r="F998" t="s">
        <v>36</v>
      </c>
      <c r="G998">
        <v>2366.8000000000002</v>
      </c>
      <c r="H998">
        <v>1705.29</v>
      </c>
      <c r="I998">
        <v>661.51</v>
      </c>
      <c r="J998">
        <v>6</v>
      </c>
      <c r="K998">
        <v>3</v>
      </c>
      <c r="L998" t="s">
        <v>29</v>
      </c>
      <c r="M998" t="s">
        <v>179</v>
      </c>
      <c r="N998">
        <v>4</v>
      </c>
      <c r="O998" t="s">
        <v>56</v>
      </c>
    </row>
    <row r="999" spans="1:15" x14ac:dyDescent="0.3">
      <c r="A999" t="s">
        <v>1692</v>
      </c>
      <c r="B999" s="3">
        <v>45365</v>
      </c>
      <c r="C999" t="s">
        <v>59</v>
      </c>
      <c r="D999" t="s">
        <v>155</v>
      </c>
      <c r="E999" t="s">
        <v>19</v>
      </c>
      <c r="F999" t="s">
        <v>73</v>
      </c>
      <c r="G999">
        <v>2948.1</v>
      </c>
      <c r="H999">
        <v>2027.92</v>
      </c>
      <c r="I999">
        <v>920.18</v>
      </c>
      <c r="K999">
        <v>2</v>
      </c>
      <c r="L999" t="s">
        <v>29</v>
      </c>
      <c r="M999" t="s">
        <v>76</v>
      </c>
      <c r="N999">
        <v>1</v>
      </c>
      <c r="O999" t="s">
        <v>21</v>
      </c>
    </row>
    <row r="1000" spans="1:15" x14ac:dyDescent="0.3">
      <c r="A1000" t="s">
        <v>1694</v>
      </c>
      <c r="B1000" s="3">
        <v>45644</v>
      </c>
      <c r="C1000" t="s">
        <v>33</v>
      </c>
      <c r="D1000" t="s">
        <v>171</v>
      </c>
      <c r="E1000" t="s">
        <v>27</v>
      </c>
      <c r="F1000" t="s">
        <v>44</v>
      </c>
      <c r="G1000">
        <v>1383.4</v>
      </c>
      <c r="H1000">
        <v>780.83</v>
      </c>
      <c r="I1000">
        <v>602.57000000000005</v>
      </c>
      <c r="K1000">
        <v>4</v>
      </c>
      <c r="L1000" t="s">
        <v>29</v>
      </c>
      <c r="M1000" t="s">
        <v>179</v>
      </c>
      <c r="N1000">
        <v>4</v>
      </c>
      <c r="O1000" t="s">
        <v>21</v>
      </c>
    </row>
    <row r="1001" spans="1:15" x14ac:dyDescent="0.3">
      <c r="A1001" t="s">
        <v>1695</v>
      </c>
      <c r="B1001" s="3">
        <v>45299</v>
      </c>
      <c r="C1001" t="s">
        <v>7</v>
      </c>
      <c r="D1001" t="s">
        <v>131</v>
      </c>
      <c r="E1001" t="s">
        <v>87</v>
      </c>
      <c r="F1001" t="s">
        <v>44</v>
      </c>
      <c r="G1001">
        <v>1028.32</v>
      </c>
      <c r="H1001">
        <v>575.80999999999995</v>
      </c>
      <c r="I1001">
        <v>452.51</v>
      </c>
      <c r="K1001">
        <v>4</v>
      </c>
      <c r="L1001" t="s">
        <v>22</v>
      </c>
      <c r="M1001" t="s">
        <v>25</v>
      </c>
      <c r="N1001">
        <v>1</v>
      </c>
      <c r="O1001" t="s">
        <v>21</v>
      </c>
    </row>
    <row r="1007" spans="1:15" x14ac:dyDescent="0.3">
      <c r="A1007" t="s">
        <v>1699</v>
      </c>
      <c r="B1007" s="4">
        <f>SUM(G:G)</f>
        <v>1946103.7400000007</v>
      </c>
    </row>
    <row r="1008" spans="1:15" x14ac:dyDescent="0.3">
      <c r="A1008" t="s">
        <v>1700</v>
      </c>
      <c r="B1008" s="4">
        <f>SUM(I:I)</f>
        <v>578969.57000000088</v>
      </c>
    </row>
    <row r="1009" spans="1:2" x14ac:dyDescent="0.3">
      <c r="A1009" t="s">
        <v>1701</v>
      </c>
      <c r="B1009" s="5">
        <f>B1008/B1007</f>
        <v>0.29750190501149781</v>
      </c>
    </row>
    <row r="1010" spans="1:2" x14ac:dyDescent="0.3">
      <c r="A1010" t="s">
        <v>1702</v>
      </c>
      <c r="B1010" s="4">
        <f>AVERAGE(K:K)</f>
        <v>3.6994923857868018</v>
      </c>
    </row>
    <row r="1011" spans="1:2" x14ac:dyDescent="0.3">
      <c r="A1011" t="s">
        <v>1703</v>
      </c>
      <c r="B1011">
        <f>COUNTIF(O:O,"Yes")</f>
        <v>241</v>
      </c>
    </row>
    <row r="1012" spans="1:2" x14ac:dyDescent="0.3">
      <c r="A1012" t="s">
        <v>1704</v>
      </c>
      <c r="B1012" s="4">
        <f>AVERAGEIF(O:O,"Yes",J:J)</f>
        <v>6.4798206278026909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DEB1-B9DF-4C3E-AB0A-DA7B87760C07}">
  <dimension ref="A1:C13"/>
  <sheetViews>
    <sheetView zoomScaleNormal="100" workbookViewId="0"/>
  </sheetViews>
  <sheetFormatPr defaultColWidth="8.6640625" defaultRowHeight="14.4" x14ac:dyDescent="0.3"/>
  <cols>
    <col min="1" max="16384" width="8.6640625" style="18"/>
  </cols>
  <sheetData>
    <row r="1" spans="1:3" x14ac:dyDescent="0.3">
      <c r="A1" s="18" t="s">
        <v>1726</v>
      </c>
      <c r="B1" s="18" t="s">
        <v>1726</v>
      </c>
      <c r="C1" s="18" t="s">
        <v>1726</v>
      </c>
    </row>
    <row r="2" spans="1:3" x14ac:dyDescent="0.3">
      <c r="A2" s="18" t="s">
        <v>25</v>
      </c>
      <c r="B2" s="18" t="s">
        <v>40</v>
      </c>
      <c r="C2" s="18" t="s">
        <v>59</v>
      </c>
    </row>
    <row r="3" spans="1:3" x14ac:dyDescent="0.3">
      <c r="A3" s="18" t="s">
        <v>124</v>
      </c>
      <c r="B3" s="18" t="s">
        <v>19</v>
      </c>
      <c r="C3" s="18" t="s">
        <v>42</v>
      </c>
    </row>
    <row r="4" spans="1:3" x14ac:dyDescent="0.3">
      <c r="A4" s="18" t="s">
        <v>76</v>
      </c>
      <c r="B4" s="18" t="s">
        <v>84</v>
      </c>
      <c r="C4" s="18" t="s">
        <v>33</v>
      </c>
    </row>
    <row r="5" spans="1:3" x14ac:dyDescent="0.3">
      <c r="A5" s="18" t="s">
        <v>16</v>
      </c>
      <c r="B5" s="18" t="s">
        <v>35</v>
      </c>
      <c r="C5" s="18" t="s">
        <v>7</v>
      </c>
    </row>
    <row r="6" spans="1:3" x14ac:dyDescent="0.3">
      <c r="A6" s="18" t="s">
        <v>104</v>
      </c>
      <c r="B6" s="18" t="s">
        <v>27</v>
      </c>
      <c r="C6" s="18" t="s">
        <v>17</v>
      </c>
    </row>
    <row r="7" spans="1:3" x14ac:dyDescent="0.3">
      <c r="A7" s="18" t="s">
        <v>64</v>
      </c>
      <c r="B7" s="18" t="s">
        <v>87</v>
      </c>
    </row>
    <row r="8" spans="1:3" x14ac:dyDescent="0.3">
      <c r="A8" s="18" t="s">
        <v>54</v>
      </c>
      <c r="B8" s="18" t="s">
        <v>1716</v>
      </c>
    </row>
    <row r="9" spans="1:3" x14ac:dyDescent="0.3">
      <c r="A9" s="18" t="s">
        <v>32</v>
      </c>
    </row>
    <row r="10" spans="1:3" x14ac:dyDescent="0.3">
      <c r="A10" s="18" t="s">
        <v>115</v>
      </c>
    </row>
    <row r="11" spans="1:3" x14ac:dyDescent="0.3">
      <c r="A11" s="18" t="s">
        <v>68</v>
      </c>
    </row>
    <row r="12" spans="1:3" x14ac:dyDescent="0.3">
      <c r="A12" s="18" t="s">
        <v>111</v>
      </c>
    </row>
    <row r="13" spans="1:3" x14ac:dyDescent="0.3">
      <c r="A13" s="18" t="s">
        <v>179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4942-48C0-40D7-A60B-DB2B2A26F380}">
  <dimension ref="A1:C36"/>
  <sheetViews>
    <sheetView zoomScaleNormal="100" workbookViewId="0"/>
  </sheetViews>
  <sheetFormatPr defaultColWidth="8.6640625" defaultRowHeight="14.4" x14ac:dyDescent="0.3"/>
  <cols>
    <col min="1" max="16384" width="8.6640625" style="18"/>
  </cols>
  <sheetData>
    <row r="1" spans="1:3" x14ac:dyDescent="0.3">
      <c r="A1" s="18" t="s">
        <v>3</v>
      </c>
      <c r="B1" s="18" t="s">
        <v>7</v>
      </c>
      <c r="C1" s="18" t="s">
        <v>9</v>
      </c>
    </row>
    <row r="2" spans="1:3" x14ac:dyDescent="0.3">
      <c r="A2" s="18" t="s">
        <v>42</v>
      </c>
      <c r="B2" s="18">
        <v>418087.00999999966</v>
      </c>
      <c r="C2" s="18">
        <v>76756.839999999967</v>
      </c>
    </row>
    <row r="3" spans="1:3" x14ac:dyDescent="0.3">
      <c r="A3" s="18" t="s">
        <v>7</v>
      </c>
      <c r="B3" s="18">
        <v>408244.26</v>
      </c>
      <c r="C3" s="18">
        <v>135275.67999999996</v>
      </c>
    </row>
    <row r="4" spans="1:3" x14ac:dyDescent="0.3">
      <c r="A4" s="18" t="s">
        <v>33</v>
      </c>
      <c r="B4" s="18">
        <v>405296.40000000026</v>
      </c>
      <c r="C4" s="18">
        <v>134020.66000000003</v>
      </c>
    </row>
    <row r="5" spans="1:3" x14ac:dyDescent="0.3">
      <c r="A5" s="18" t="s">
        <v>17</v>
      </c>
      <c r="B5" s="18">
        <v>367468.14999999997</v>
      </c>
      <c r="C5" s="18">
        <v>117500.76000000005</v>
      </c>
    </row>
    <row r="6" spans="1:3" x14ac:dyDescent="0.3">
      <c r="A6" s="18" t="s">
        <v>59</v>
      </c>
      <c r="B6" s="18">
        <v>347007.91999999987</v>
      </c>
      <c r="C6" s="18">
        <v>115415.63000000002</v>
      </c>
    </row>
    <row r="8" spans="1:3" x14ac:dyDescent="0.3">
      <c r="A8" s="18" t="s">
        <v>5</v>
      </c>
      <c r="B8" s="18" t="s">
        <v>9</v>
      </c>
    </row>
    <row r="9" spans="1:3" x14ac:dyDescent="0.3">
      <c r="A9" s="18" t="s">
        <v>27</v>
      </c>
      <c r="B9" s="18">
        <v>105621.77</v>
      </c>
    </row>
    <row r="10" spans="1:3" x14ac:dyDescent="0.3">
      <c r="A10" s="18" t="s">
        <v>19</v>
      </c>
      <c r="B10" s="18">
        <v>99360.71000000005</v>
      </c>
    </row>
    <row r="11" spans="1:3" x14ac:dyDescent="0.3">
      <c r="A11" s="18" t="s">
        <v>40</v>
      </c>
      <c r="B11" s="18">
        <v>98221.1</v>
      </c>
    </row>
    <row r="12" spans="1:3" x14ac:dyDescent="0.3">
      <c r="A12" s="18" t="s">
        <v>35</v>
      </c>
      <c r="B12" s="18">
        <v>95897.39999999998</v>
      </c>
    </row>
    <row r="13" spans="1:3" x14ac:dyDescent="0.3">
      <c r="A13" s="18" t="s">
        <v>87</v>
      </c>
      <c r="B13" s="18">
        <v>92536.209999999977</v>
      </c>
    </row>
    <row r="14" spans="1:3" x14ac:dyDescent="0.3">
      <c r="A14" s="18" t="s">
        <v>84</v>
      </c>
      <c r="B14" s="18">
        <v>81543.780000000028</v>
      </c>
    </row>
    <row r="15" spans="1:3" x14ac:dyDescent="0.3">
      <c r="A15" s="18" t="s">
        <v>1716</v>
      </c>
      <c r="B15" s="18">
        <v>5788.5999999999985</v>
      </c>
    </row>
    <row r="17" spans="1:3" x14ac:dyDescent="0.3">
      <c r="A17" s="18" t="s">
        <v>2</v>
      </c>
      <c r="B17" s="18" t="s">
        <v>7</v>
      </c>
      <c r="C17" s="18" t="s">
        <v>9</v>
      </c>
    </row>
    <row r="18" spans="1:3" x14ac:dyDescent="0.3">
      <c r="A18" s="18" t="s">
        <v>25</v>
      </c>
      <c r="B18" s="18">
        <v>143645.44</v>
      </c>
      <c r="C18" s="18">
        <v>43141.470000000008</v>
      </c>
    </row>
    <row r="19" spans="1:3" x14ac:dyDescent="0.3">
      <c r="A19" s="18" t="s">
        <v>124</v>
      </c>
      <c r="B19" s="18">
        <v>142891.53999999995</v>
      </c>
      <c r="C19" s="18">
        <v>44600.659999999989</v>
      </c>
    </row>
    <row r="20" spans="1:3" x14ac:dyDescent="0.3">
      <c r="A20" s="18" t="s">
        <v>76</v>
      </c>
      <c r="B20" s="18">
        <v>162076.11999999991</v>
      </c>
      <c r="C20" s="18">
        <v>50187.880000000005</v>
      </c>
    </row>
    <row r="21" spans="1:3" x14ac:dyDescent="0.3">
      <c r="A21" s="18" t="s">
        <v>16</v>
      </c>
      <c r="B21" s="18">
        <v>167186.68999999997</v>
      </c>
      <c r="C21" s="18">
        <v>48434.31</v>
      </c>
    </row>
    <row r="22" spans="1:3" x14ac:dyDescent="0.3">
      <c r="A22" s="18" t="s">
        <v>104</v>
      </c>
      <c r="B22" s="18">
        <v>147977.90999999992</v>
      </c>
      <c r="C22" s="18">
        <v>44604.240000000013</v>
      </c>
    </row>
    <row r="23" spans="1:3" x14ac:dyDescent="0.3">
      <c r="A23" s="18" t="s">
        <v>64</v>
      </c>
      <c r="B23" s="18">
        <v>145198.34</v>
      </c>
      <c r="C23" s="18">
        <v>44035.139999999985</v>
      </c>
    </row>
    <row r="24" spans="1:3" x14ac:dyDescent="0.3">
      <c r="A24" s="18" t="s">
        <v>54</v>
      </c>
      <c r="B24" s="18">
        <v>195650.48</v>
      </c>
      <c r="C24" s="18">
        <v>58162.119999999995</v>
      </c>
    </row>
    <row r="25" spans="1:3" x14ac:dyDescent="0.3">
      <c r="A25" s="18" t="s">
        <v>32</v>
      </c>
      <c r="B25" s="18">
        <v>166276.47000000006</v>
      </c>
      <c r="C25" s="18">
        <v>45800.88</v>
      </c>
    </row>
    <row r="26" spans="1:3" x14ac:dyDescent="0.3">
      <c r="A26" s="18" t="s">
        <v>115</v>
      </c>
      <c r="B26" s="18">
        <v>192480.63999999998</v>
      </c>
      <c r="C26" s="18">
        <v>56001.850000000013</v>
      </c>
    </row>
    <row r="27" spans="1:3" x14ac:dyDescent="0.3">
      <c r="A27" s="18" t="s">
        <v>68</v>
      </c>
      <c r="B27" s="18">
        <v>177158.37000000008</v>
      </c>
      <c r="C27" s="18">
        <v>53026.159999999974</v>
      </c>
    </row>
    <row r="28" spans="1:3" x14ac:dyDescent="0.3">
      <c r="A28" s="18" t="s">
        <v>111</v>
      </c>
      <c r="B28" s="18">
        <v>161142.65</v>
      </c>
      <c r="C28" s="18">
        <v>48987.74</v>
      </c>
    </row>
    <row r="29" spans="1:3" x14ac:dyDescent="0.3">
      <c r="A29" s="18" t="s">
        <v>179</v>
      </c>
      <c r="B29" s="18">
        <v>144419.09</v>
      </c>
      <c r="C29" s="18">
        <v>41987.12000000001</v>
      </c>
    </row>
    <row r="31" spans="1:3" x14ac:dyDescent="0.3">
      <c r="A31" s="18" t="s">
        <v>3</v>
      </c>
      <c r="B31" s="18" t="s">
        <v>1740</v>
      </c>
    </row>
    <row r="32" spans="1:3" x14ac:dyDescent="0.3">
      <c r="A32" s="18" t="s">
        <v>42</v>
      </c>
      <c r="B32" s="18">
        <v>81</v>
      </c>
    </row>
    <row r="33" spans="1:2" x14ac:dyDescent="0.3">
      <c r="A33" s="18" t="s">
        <v>17</v>
      </c>
      <c r="B33" s="18">
        <v>43</v>
      </c>
    </row>
    <row r="34" spans="1:2" x14ac:dyDescent="0.3">
      <c r="A34" s="18" t="s">
        <v>33</v>
      </c>
      <c r="B34" s="18">
        <v>42</v>
      </c>
    </row>
    <row r="35" spans="1:2" x14ac:dyDescent="0.3">
      <c r="A35" s="18" t="s">
        <v>7</v>
      </c>
      <c r="B35" s="18">
        <v>40</v>
      </c>
    </row>
    <row r="36" spans="1:2" x14ac:dyDescent="0.3">
      <c r="A36" s="18" t="s">
        <v>59</v>
      </c>
      <c r="B36" s="18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N1046"/>
  <sheetViews>
    <sheetView workbookViewId="0">
      <pane ySplit="1" topLeftCell="A1019" activePane="bottomLeft" state="frozen"/>
      <selection pane="bottomLeft" sqref="A1:N1046"/>
    </sheetView>
  </sheetViews>
  <sheetFormatPr defaultRowHeight="14.4" x14ac:dyDescent="0.3"/>
  <cols>
    <col min="1" max="1" width="17.33203125" customWidth="1"/>
    <col min="2" max="2" width="16" customWidth="1"/>
    <col min="3" max="3" width="11" customWidth="1"/>
    <col min="4" max="4" width="18" customWidth="1"/>
    <col min="5" max="5" width="19.5546875" customWidth="1"/>
    <col min="6" max="6" width="14" customWidth="1"/>
    <col min="7" max="7" width="20.44140625" customWidth="1"/>
    <col min="8" max="10" width="10" customWidth="1"/>
    <col min="11" max="11" width="23.44140625" customWidth="1"/>
    <col min="12" max="12" width="19.33203125" customWidth="1"/>
    <col min="13" max="13" width="19.77734375" customWidth="1"/>
    <col min="14" max="14" width="16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1979.71</v>
      </c>
      <c r="I2" s="2">
        <v>1535.03</v>
      </c>
      <c r="J2" s="2">
        <v>444.68</v>
      </c>
      <c r="K2" s="2" t="s">
        <v>21</v>
      </c>
      <c r="L2" s="2"/>
      <c r="M2" s="2">
        <v>3</v>
      </c>
      <c r="N2" s="2" t="s">
        <v>22</v>
      </c>
    </row>
    <row r="3" spans="1:14" x14ac:dyDescent="0.3">
      <c r="A3" s="2" t="s">
        <v>23</v>
      </c>
      <c r="B3" s="2" t="s">
        <v>24</v>
      </c>
      <c r="C3" s="2" t="s">
        <v>25</v>
      </c>
      <c r="D3" s="2" t="s">
        <v>17</v>
      </c>
      <c r="E3" s="2" t="s">
        <v>26</v>
      </c>
      <c r="F3" s="2" t="s">
        <v>27</v>
      </c>
      <c r="G3" s="2" t="s">
        <v>28</v>
      </c>
      <c r="H3" s="2">
        <v>2000.86</v>
      </c>
      <c r="I3" s="2">
        <v>1126.55</v>
      </c>
      <c r="J3" s="2">
        <v>874.31</v>
      </c>
      <c r="K3" s="2" t="s">
        <v>21</v>
      </c>
      <c r="L3" s="2"/>
      <c r="M3" s="2">
        <v>4</v>
      </c>
      <c r="N3" s="2" t="s">
        <v>29</v>
      </c>
    </row>
    <row r="4" spans="1:14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>
        <v>409.86</v>
      </c>
      <c r="I4" s="2">
        <v>263.67</v>
      </c>
      <c r="J4" s="2">
        <v>146.19</v>
      </c>
      <c r="K4" s="2" t="s">
        <v>21</v>
      </c>
      <c r="L4" s="2"/>
      <c r="M4" s="2"/>
      <c r="N4" s="2" t="s">
        <v>22</v>
      </c>
    </row>
    <row r="5" spans="1:14" x14ac:dyDescent="0.3">
      <c r="A5" s="2" t="s">
        <v>37</v>
      </c>
      <c r="B5" s="2" t="s">
        <v>38</v>
      </c>
      <c r="C5" s="2" t="s">
        <v>16</v>
      </c>
      <c r="D5" s="2" t="s">
        <v>33</v>
      </c>
      <c r="E5" s="2" t="s">
        <v>39</v>
      </c>
      <c r="F5" s="2" t="s">
        <v>40</v>
      </c>
      <c r="G5" s="2" t="s">
        <v>20</v>
      </c>
      <c r="H5" s="2">
        <v>2822.48</v>
      </c>
      <c r="I5" s="2">
        <v>1996.74</v>
      </c>
      <c r="J5" s="2">
        <v>825.74</v>
      </c>
      <c r="K5" s="2" t="s">
        <v>21</v>
      </c>
      <c r="L5" s="2"/>
      <c r="M5" s="2">
        <v>2</v>
      </c>
      <c r="N5" s="2" t="s">
        <v>22</v>
      </c>
    </row>
    <row r="6" spans="1:14" x14ac:dyDescent="0.3">
      <c r="A6" s="2" t="s">
        <v>41</v>
      </c>
      <c r="B6" s="2" t="s">
        <v>38</v>
      </c>
      <c r="C6" s="2" t="s">
        <v>16</v>
      </c>
      <c r="D6" s="2" t="s">
        <v>42</v>
      </c>
      <c r="E6" s="2" t="s">
        <v>43</v>
      </c>
      <c r="F6" s="2" t="s">
        <v>35</v>
      </c>
      <c r="G6" s="2" t="s">
        <v>44</v>
      </c>
      <c r="H6" s="2">
        <v>393.71</v>
      </c>
      <c r="I6" s="2">
        <v>296.07</v>
      </c>
      <c r="J6" s="2">
        <v>97.64</v>
      </c>
      <c r="K6" s="2" t="s">
        <v>21</v>
      </c>
      <c r="L6" s="2"/>
      <c r="M6" s="2">
        <v>2</v>
      </c>
      <c r="N6" s="2" t="s">
        <v>29</v>
      </c>
    </row>
    <row r="7" spans="1:14" x14ac:dyDescent="0.3">
      <c r="A7" s="2" t="s">
        <v>45</v>
      </c>
      <c r="B7" s="2" t="s">
        <v>46</v>
      </c>
      <c r="C7" s="2" t="s">
        <v>16</v>
      </c>
      <c r="D7" s="2" t="s">
        <v>42</v>
      </c>
      <c r="E7" s="2" t="s">
        <v>47</v>
      </c>
      <c r="F7" s="2" t="s">
        <v>48</v>
      </c>
      <c r="G7" s="2" t="s">
        <v>20</v>
      </c>
      <c r="H7" s="2">
        <v>1869.97</v>
      </c>
      <c r="I7" s="2">
        <v>1712.98</v>
      </c>
      <c r="J7" s="2">
        <v>156.99</v>
      </c>
      <c r="K7" s="2" t="s">
        <v>21</v>
      </c>
      <c r="L7" s="2"/>
      <c r="M7" s="2">
        <v>2</v>
      </c>
      <c r="N7" s="2" t="s">
        <v>29</v>
      </c>
    </row>
    <row r="8" spans="1:14" x14ac:dyDescent="0.3">
      <c r="A8" s="2" t="s">
        <v>49</v>
      </c>
      <c r="B8" s="2" t="s">
        <v>50</v>
      </c>
      <c r="C8" s="2" t="s">
        <v>16</v>
      </c>
      <c r="D8" s="2" t="s">
        <v>17</v>
      </c>
      <c r="E8" s="2" t="s">
        <v>51</v>
      </c>
      <c r="F8" s="2" t="s">
        <v>19</v>
      </c>
      <c r="G8" s="2" t="s">
        <v>44</v>
      </c>
      <c r="H8" s="2">
        <v>386.26</v>
      </c>
      <c r="I8" s="2">
        <v>223.49</v>
      </c>
      <c r="J8" s="2">
        <v>162.77000000000001</v>
      </c>
      <c r="K8" s="2" t="s">
        <v>21</v>
      </c>
      <c r="L8" s="2"/>
      <c r="M8" s="2">
        <v>3</v>
      </c>
      <c r="N8" s="2" t="s">
        <v>22</v>
      </c>
    </row>
    <row r="9" spans="1:14" x14ac:dyDescent="0.3">
      <c r="A9" s="2" t="s">
        <v>52</v>
      </c>
      <c r="B9" s="2" t="s">
        <v>53</v>
      </c>
      <c r="C9" s="2" t="s">
        <v>54</v>
      </c>
      <c r="D9" s="2" t="s">
        <v>7</v>
      </c>
      <c r="E9" s="2" t="s">
        <v>55</v>
      </c>
      <c r="F9" s="2" t="s">
        <v>19</v>
      </c>
      <c r="G9" s="2" t="s">
        <v>28</v>
      </c>
      <c r="H9" s="2">
        <v>2723.53</v>
      </c>
      <c r="I9" s="2">
        <v>1633.76</v>
      </c>
      <c r="J9" s="2">
        <v>1089.77</v>
      </c>
      <c r="K9" s="2" t="s">
        <v>56</v>
      </c>
      <c r="L9" s="2">
        <v>8</v>
      </c>
      <c r="M9" s="2">
        <v>2</v>
      </c>
      <c r="N9" s="2" t="s">
        <v>22</v>
      </c>
    </row>
    <row r="10" spans="1:14" x14ac:dyDescent="0.3">
      <c r="A10" s="2" t="s">
        <v>57</v>
      </c>
      <c r="B10" s="2" t="s">
        <v>58</v>
      </c>
      <c r="C10" s="2" t="s">
        <v>54</v>
      </c>
      <c r="D10" s="2" t="s">
        <v>59</v>
      </c>
      <c r="E10" s="2" t="s">
        <v>60</v>
      </c>
      <c r="F10" s="2" t="s">
        <v>61</v>
      </c>
      <c r="G10" s="2" t="s">
        <v>44</v>
      </c>
      <c r="H10" s="2">
        <v>1152.5999999999999</v>
      </c>
      <c r="I10" s="2">
        <v>757.36</v>
      </c>
      <c r="J10" s="2">
        <v>395.24</v>
      </c>
      <c r="K10" s="2" t="s">
        <v>21</v>
      </c>
      <c r="L10" s="2"/>
      <c r="M10" s="2">
        <v>5</v>
      </c>
      <c r="N10" s="2" t="s">
        <v>22</v>
      </c>
    </row>
    <row r="11" spans="1:14" x14ac:dyDescent="0.3">
      <c r="A11" s="2" t="s">
        <v>62</v>
      </c>
      <c r="B11" s="2" t="s">
        <v>63</v>
      </c>
      <c r="C11" s="2" t="s">
        <v>64</v>
      </c>
      <c r="D11" s="2" t="s">
        <v>7</v>
      </c>
      <c r="E11" s="2" t="s">
        <v>65</v>
      </c>
      <c r="F11" s="2" t="s">
        <v>27</v>
      </c>
      <c r="G11" s="2" t="s">
        <v>20</v>
      </c>
      <c r="H11" s="2">
        <v>2954.98</v>
      </c>
      <c r="I11" s="2">
        <v>2099.75</v>
      </c>
      <c r="J11" s="2">
        <v>855.23</v>
      </c>
      <c r="K11" s="2" t="s">
        <v>21</v>
      </c>
      <c r="L11" s="2"/>
      <c r="M11" s="2">
        <v>4</v>
      </c>
      <c r="N11" s="2" t="s">
        <v>22</v>
      </c>
    </row>
    <row r="12" spans="1:14" x14ac:dyDescent="0.3">
      <c r="A12" s="2" t="s">
        <v>66</v>
      </c>
      <c r="B12" s="2" t="s">
        <v>67</v>
      </c>
      <c r="C12" s="2" t="s">
        <v>68</v>
      </c>
      <c r="D12" s="2" t="s">
        <v>7</v>
      </c>
      <c r="E12" s="2" t="s">
        <v>69</v>
      </c>
      <c r="F12" s="2" t="s">
        <v>35</v>
      </c>
      <c r="G12" s="2" t="s">
        <v>36</v>
      </c>
      <c r="H12" s="2">
        <v>1058.97</v>
      </c>
      <c r="I12" s="2">
        <v>703.57</v>
      </c>
      <c r="J12" s="2">
        <v>355.4</v>
      </c>
      <c r="K12" s="2" t="s">
        <v>21</v>
      </c>
      <c r="L12" s="2"/>
      <c r="M12" s="2">
        <v>5</v>
      </c>
      <c r="N12" s="2" t="s">
        <v>22</v>
      </c>
    </row>
    <row r="13" spans="1:14" x14ac:dyDescent="0.3">
      <c r="A13" s="2" t="s">
        <v>70</v>
      </c>
      <c r="B13" s="2" t="s">
        <v>71</v>
      </c>
      <c r="C13" s="2" t="s">
        <v>32</v>
      </c>
      <c r="D13" s="2" t="s">
        <v>17</v>
      </c>
      <c r="E13" s="2" t="s">
        <v>72</v>
      </c>
      <c r="F13" s="2" t="s">
        <v>40</v>
      </c>
      <c r="G13" s="2" t="s">
        <v>73</v>
      </c>
      <c r="H13" s="2">
        <v>2823.18</v>
      </c>
      <c r="I13" s="2">
        <v>1974.11</v>
      </c>
      <c r="J13" s="2">
        <v>849.07</v>
      </c>
      <c r="K13" s="2" t="s">
        <v>21</v>
      </c>
      <c r="L13" s="2"/>
      <c r="M13" s="2">
        <v>5</v>
      </c>
      <c r="N13" s="2" t="s">
        <v>22</v>
      </c>
    </row>
    <row r="14" spans="1:14" x14ac:dyDescent="0.3">
      <c r="A14" s="2" t="s">
        <v>74</v>
      </c>
      <c r="B14" s="2" t="s">
        <v>75</v>
      </c>
      <c r="C14" s="2" t="s">
        <v>76</v>
      </c>
      <c r="D14" s="2" t="s">
        <v>42</v>
      </c>
      <c r="E14" s="2" t="s">
        <v>77</v>
      </c>
      <c r="F14" s="2" t="s">
        <v>19</v>
      </c>
      <c r="G14" s="2" t="s">
        <v>44</v>
      </c>
      <c r="H14" s="2">
        <v>3252.27</v>
      </c>
      <c r="I14" s="2">
        <v>2775.57</v>
      </c>
      <c r="J14" s="2">
        <v>476.7</v>
      </c>
      <c r="K14" s="2" t="s">
        <v>21</v>
      </c>
      <c r="L14" s="2"/>
      <c r="M14" s="2">
        <v>4</v>
      </c>
      <c r="N14" s="2" t="s">
        <v>29</v>
      </c>
    </row>
    <row r="15" spans="1:14" x14ac:dyDescent="0.3">
      <c r="A15" s="2" t="s">
        <v>78</v>
      </c>
      <c r="B15" s="2" t="s">
        <v>79</v>
      </c>
      <c r="C15" s="2" t="s">
        <v>25</v>
      </c>
      <c r="D15" s="2" t="s">
        <v>42</v>
      </c>
      <c r="E15" s="2" t="s">
        <v>80</v>
      </c>
      <c r="F15" s="2" t="s">
        <v>27</v>
      </c>
      <c r="G15" s="2" t="s">
        <v>28</v>
      </c>
      <c r="H15" s="2">
        <v>667.78</v>
      </c>
      <c r="I15" s="2">
        <v>482.92</v>
      </c>
      <c r="J15" s="2">
        <v>184.86</v>
      </c>
      <c r="K15" s="2" t="s">
        <v>56</v>
      </c>
      <c r="L15" s="2">
        <v>5</v>
      </c>
      <c r="M15" s="2">
        <v>2</v>
      </c>
      <c r="N15" s="2" t="s">
        <v>22</v>
      </c>
    </row>
    <row r="16" spans="1:14" x14ac:dyDescent="0.3">
      <c r="A16" s="2" t="s">
        <v>81</v>
      </c>
      <c r="B16" s="2" t="s">
        <v>82</v>
      </c>
      <c r="C16" s="2" t="s">
        <v>54</v>
      </c>
      <c r="D16" s="2" t="s">
        <v>42</v>
      </c>
      <c r="E16" s="2" t="s">
        <v>83</v>
      </c>
      <c r="F16" s="2" t="s">
        <v>84</v>
      </c>
      <c r="G16" s="2" t="s">
        <v>36</v>
      </c>
      <c r="H16" s="2">
        <v>2131.58</v>
      </c>
      <c r="I16" s="2">
        <v>1506.93</v>
      </c>
      <c r="J16" s="2">
        <v>624.65</v>
      </c>
      <c r="K16" s="2" t="s">
        <v>21</v>
      </c>
      <c r="L16" s="2"/>
      <c r="M16" s="2">
        <v>5</v>
      </c>
      <c r="N16" s="2" t="s">
        <v>29</v>
      </c>
    </row>
    <row r="17" spans="1:14" x14ac:dyDescent="0.3">
      <c r="A17" s="2" t="s">
        <v>85</v>
      </c>
      <c r="B17" s="2" t="s">
        <v>86</v>
      </c>
      <c r="C17" s="2" t="s">
        <v>68</v>
      </c>
      <c r="D17" s="2" t="s">
        <v>17</v>
      </c>
      <c r="E17" s="2" t="s">
        <v>18</v>
      </c>
      <c r="F17" s="2" t="s">
        <v>87</v>
      </c>
      <c r="G17" s="2" t="s">
        <v>44</v>
      </c>
      <c r="H17" s="2">
        <v>458.36</v>
      </c>
      <c r="I17" s="2">
        <v>280.22000000000003</v>
      </c>
      <c r="J17" s="2">
        <v>178.14</v>
      </c>
      <c r="K17" s="2" t="s">
        <v>21</v>
      </c>
      <c r="L17" s="2"/>
      <c r="M17" s="2">
        <v>4</v>
      </c>
      <c r="N17" s="2" t="s">
        <v>22</v>
      </c>
    </row>
    <row r="18" spans="1:14" x14ac:dyDescent="0.3">
      <c r="A18" s="2" t="s">
        <v>88</v>
      </c>
      <c r="B18" s="2" t="s">
        <v>89</v>
      </c>
      <c r="C18" s="2" t="s">
        <v>16</v>
      </c>
      <c r="D18" s="2" t="s">
        <v>7</v>
      </c>
      <c r="E18" s="2" t="s">
        <v>65</v>
      </c>
      <c r="F18" s="2" t="s">
        <v>40</v>
      </c>
      <c r="G18" s="2" t="s">
        <v>20</v>
      </c>
      <c r="H18" s="2">
        <v>2062.5</v>
      </c>
      <c r="I18" s="2">
        <v>1647.38</v>
      </c>
      <c r="J18" s="2">
        <v>415.12</v>
      </c>
      <c r="K18" s="2" t="s">
        <v>90</v>
      </c>
      <c r="L18" s="2"/>
      <c r="M18" s="2">
        <v>4</v>
      </c>
      <c r="N18" s="2" t="s">
        <v>22</v>
      </c>
    </row>
    <row r="19" spans="1:14" x14ac:dyDescent="0.3">
      <c r="A19" s="2" t="s">
        <v>91</v>
      </c>
      <c r="B19" s="2" t="s">
        <v>92</v>
      </c>
      <c r="C19" s="2" t="s">
        <v>68</v>
      </c>
      <c r="D19" s="2" t="s">
        <v>33</v>
      </c>
      <c r="E19" s="2" t="s">
        <v>93</v>
      </c>
      <c r="F19" s="2" t="s">
        <v>35</v>
      </c>
      <c r="G19" s="2" t="s">
        <v>44</v>
      </c>
      <c r="H19" s="2">
        <v>609.85</v>
      </c>
      <c r="I19" s="2">
        <v>386.81</v>
      </c>
      <c r="J19" s="2">
        <v>223.04</v>
      </c>
      <c r="K19" s="2" t="s">
        <v>21</v>
      </c>
      <c r="L19" s="2"/>
      <c r="M19" s="2">
        <v>5</v>
      </c>
      <c r="N19" s="2" t="s">
        <v>29</v>
      </c>
    </row>
    <row r="20" spans="1:14" x14ac:dyDescent="0.3">
      <c r="A20" s="2" t="s">
        <v>94</v>
      </c>
      <c r="B20" s="2" t="s">
        <v>82</v>
      </c>
      <c r="C20" s="2" t="s">
        <v>54</v>
      </c>
      <c r="D20" s="2" t="s">
        <v>42</v>
      </c>
      <c r="E20" s="2" t="s">
        <v>47</v>
      </c>
      <c r="F20" s="2" t="s">
        <v>84</v>
      </c>
      <c r="G20" s="2" t="s">
        <v>44</v>
      </c>
      <c r="H20" s="2">
        <v>2793.63</v>
      </c>
      <c r="I20" s="2">
        <v>1961.03</v>
      </c>
      <c r="J20" s="2">
        <v>832.6</v>
      </c>
      <c r="K20" s="2" t="s">
        <v>21</v>
      </c>
      <c r="L20" s="2"/>
      <c r="M20" s="2">
        <v>5</v>
      </c>
      <c r="N20" s="2" t="s">
        <v>29</v>
      </c>
    </row>
    <row r="21" spans="1:14" x14ac:dyDescent="0.3">
      <c r="A21" s="2" t="s">
        <v>95</v>
      </c>
      <c r="B21" s="2" t="s">
        <v>24</v>
      </c>
      <c r="C21" s="2" t="s">
        <v>25</v>
      </c>
      <c r="D21" s="2" t="s">
        <v>17</v>
      </c>
      <c r="E21" s="2" t="s">
        <v>96</v>
      </c>
      <c r="F21" s="2" t="s">
        <v>40</v>
      </c>
      <c r="G21" s="2" t="s">
        <v>97</v>
      </c>
      <c r="H21" s="2">
        <v>1311.71</v>
      </c>
      <c r="I21" s="2">
        <v>836.84</v>
      </c>
      <c r="J21" s="2">
        <v>474.87</v>
      </c>
      <c r="K21" s="2" t="s">
        <v>21</v>
      </c>
      <c r="L21" s="2"/>
      <c r="M21" s="2">
        <v>4</v>
      </c>
      <c r="N21" s="2" t="s">
        <v>22</v>
      </c>
    </row>
    <row r="22" spans="1:14" x14ac:dyDescent="0.3">
      <c r="A22" s="2" t="s">
        <v>98</v>
      </c>
      <c r="B22" s="2" t="s">
        <v>99</v>
      </c>
      <c r="C22" s="2" t="s">
        <v>64</v>
      </c>
      <c r="D22" s="2" t="s">
        <v>17</v>
      </c>
      <c r="E22" s="2" t="s">
        <v>100</v>
      </c>
      <c r="F22" s="2" t="s">
        <v>19</v>
      </c>
      <c r="G22" s="2" t="s">
        <v>44</v>
      </c>
      <c r="H22" s="2">
        <v>2887.74</v>
      </c>
      <c r="I22" s="2">
        <v>1837.35</v>
      </c>
      <c r="J22" s="2">
        <v>1050.3900000000001</v>
      </c>
      <c r="K22" s="2" t="s">
        <v>101</v>
      </c>
      <c r="L22" s="2"/>
      <c r="M22" s="2">
        <v>4</v>
      </c>
      <c r="N22" s="2" t="s">
        <v>22</v>
      </c>
    </row>
    <row r="23" spans="1:14" x14ac:dyDescent="0.3">
      <c r="A23" s="2" t="s">
        <v>102</v>
      </c>
      <c r="B23" s="2" t="s">
        <v>103</v>
      </c>
      <c r="C23" s="2" t="s">
        <v>104</v>
      </c>
      <c r="D23" s="2" t="s">
        <v>33</v>
      </c>
      <c r="E23" s="2" t="s">
        <v>105</v>
      </c>
      <c r="F23" s="2" t="s">
        <v>40</v>
      </c>
      <c r="G23" s="2" t="s">
        <v>44</v>
      </c>
      <c r="H23" s="2">
        <v>3159.24</v>
      </c>
      <c r="I23" s="2">
        <v>1889.63</v>
      </c>
      <c r="J23" s="2">
        <v>1269.6099999999999</v>
      </c>
      <c r="K23" s="2" t="s">
        <v>21</v>
      </c>
      <c r="L23" s="2"/>
      <c r="M23" s="2">
        <v>5</v>
      </c>
      <c r="N23" s="2" t="s">
        <v>22</v>
      </c>
    </row>
    <row r="24" spans="1:14" x14ac:dyDescent="0.3">
      <c r="A24" s="2" t="s">
        <v>106</v>
      </c>
      <c r="B24" s="2" t="s">
        <v>107</v>
      </c>
      <c r="C24" s="2" t="s">
        <v>104</v>
      </c>
      <c r="D24" s="2" t="s">
        <v>59</v>
      </c>
      <c r="E24" s="2" t="s">
        <v>108</v>
      </c>
      <c r="F24" s="2" t="s">
        <v>19</v>
      </c>
      <c r="G24" s="2" t="s">
        <v>28</v>
      </c>
      <c r="H24" s="2">
        <v>1119.6500000000001</v>
      </c>
      <c r="I24" s="2">
        <v>649.39</v>
      </c>
      <c r="J24" s="2">
        <v>470.26</v>
      </c>
      <c r="K24" s="2" t="s">
        <v>21</v>
      </c>
      <c r="L24" s="2"/>
      <c r="M24" s="2">
        <v>4</v>
      </c>
      <c r="N24" s="2" t="s">
        <v>22</v>
      </c>
    </row>
    <row r="25" spans="1:14" x14ac:dyDescent="0.3">
      <c r="A25" s="2" t="s">
        <v>109</v>
      </c>
      <c r="B25" s="2" t="s">
        <v>110</v>
      </c>
      <c r="C25" s="2" t="s">
        <v>111</v>
      </c>
      <c r="D25" s="2" t="s">
        <v>33</v>
      </c>
      <c r="E25" s="2" t="s">
        <v>105</v>
      </c>
      <c r="F25" s="2" t="s">
        <v>35</v>
      </c>
      <c r="G25" s="2" t="s">
        <v>28</v>
      </c>
      <c r="H25" s="2">
        <v>565.70000000000005</v>
      </c>
      <c r="I25" s="2">
        <v>417.63</v>
      </c>
      <c r="J25" s="2">
        <v>148.07</v>
      </c>
      <c r="K25" s="2" t="s">
        <v>56</v>
      </c>
      <c r="L25" s="2">
        <v>4</v>
      </c>
      <c r="M25" s="2">
        <v>3</v>
      </c>
      <c r="N25" s="2" t="s">
        <v>22</v>
      </c>
    </row>
    <row r="26" spans="1:14" x14ac:dyDescent="0.3">
      <c r="A26" s="2" t="s">
        <v>112</v>
      </c>
      <c r="B26" s="2" t="s">
        <v>46</v>
      </c>
      <c r="C26" s="2" t="s">
        <v>16</v>
      </c>
      <c r="D26" s="2" t="s">
        <v>7</v>
      </c>
      <c r="E26" s="2"/>
      <c r="F26" s="2" t="s">
        <v>35</v>
      </c>
      <c r="G26" s="2" t="s">
        <v>36</v>
      </c>
      <c r="H26" s="2">
        <v>3380.28</v>
      </c>
      <c r="I26" s="2">
        <v>2004.31</v>
      </c>
      <c r="J26" s="2">
        <v>1375.97</v>
      </c>
      <c r="K26" s="2" t="s">
        <v>21</v>
      </c>
      <c r="L26" s="2"/>
      <c r="M26" s="2">
        <v>3</v>
      </c>
      <c r="N26" s="2" t="s">
        <v>22</v>
      </c>
    </row>
    <row r="27" spans="1:14" x14ac:dyDescent="0.3">
      <c r="A27" s="2" t="s">
        <v>113</v>
      </c>
      <c r="B27" s="2" t="s">
        <v>114</v>
      </c>
      <c r="C27" s="2" t="s">
        <v>115</v>
      </c>
      <c r="D27" s="2" t="s">
        <v>59</v>
      </c>
      <c r="E27" s="2" t="s">
        <v>116</v>
      </c>
      <c r="F27" s="2" t="s">
        <v>35</v>
      </c>
      <c r="G27" s="2" t="s">
        <v>73</v>
      </c>
      <c r="H27" s="2">
        <v>1730.78</v>
      </c>
      <c r="I27" s="2">
        <v>1248.22</v>
      </c>
      <c r="J27" s="2">
        <v>482.56</v>
      </c>
      <c r="K27" s="2" t="s">
        <v>21</v>
      </c>
      <c r="L27" s="2"/>
      <c r="M27" s="2">
        <v>3</v>
      </c>
      <c r="N27" s="2" t="s">
        <v>22</v>
      </c>
    </row>
    <row r="28" spans="1:14" x14ac:dyDescent="0.3">
      <c r="A28" s="2" t="s">
        <v>117</v>
      </c>
      <c r="B28" s="2" t="s">
        <v>118</v>
      </c>
      <c r="C28" s="2" t="s">
        <v>111</v>
      </c>
      <c r="D28" s="2" t="s">
        <v>33</v>
      </c>
      <c r="E28" s="2" t="s">
        <v>119</v>
      </c>
      <c r="F28" s="2" t="s">
        <v>27</v>
      </c>
      <c r="G28" s="2" t="s">
        <v>44</v>
      </c>
      <c r="H28" s="2">
        <v>1652.98</v>
      </c>
      <c r="I28" s="2">
        <v>978.78</v>
      </c>
      <c r="J28" s="2">
        <v>674.2</v>
      </c>
      <c r="K28" s="2" t="s">
        <v>56</v>
      </c>
      <c r="L28" s="2">
        <v>3</v>
      </c>
      <c r="M28" s="2">
        <v>3</v>
      </c>
      <c r="N28" s="2" t="s">
        <v>22</v>
      </c>
    </row>
    <row r="29" spans="1:14" x14ac:dyDescent="0.3">
      <c r="A29" s="2" t="s">
        <v>120</v>
      </c>
      <c r="B29" s="2" t="s">
        <v>121</v>
      </c>
      <c r="C29" s="2" t="s">
        <v>54</v>
      </c>
      <c r="D29" s="2" t="s">
        <v>33</v>
      </c>
      <c r="E29" s="2" t="s">
        <v>119</v>
      </c>
      <c r="F29" s="2" t="s">
        <v>87</v>
      </c>
      <c r="G29" s="2" t="s">
        <v>20</v>
      </c>
      <c r="H29" s="2">
        <v>3220.85</v>
      </c>
      <c r="I29" s="2">
        <v>2481.89</v>
      </c>
      <c r="J29" s="2">
        <v>738.96</v>
      </c>
      <c r="K29" s="2" t="s">
        <v>21</v>
      </c>
      <c r="L29" s="2"/>
      <c r="M29" s="2">
        <v>4</v>
      </c>
      <c r="N29" s="2" t="s">
        <v>22</v>
      </c>
    </row>
    <row r="30" spans="1:14" x14ac:dyDescent="0.3">
      <c r="A30" s="2" t="s">
        <v>122</v>
      </c>
      <c r="B30" s="2" t="s">
        <v>123</v>
      </c>
      <c r="C30" s="2" t="s">
        <v>124</v>
      </c>
      <c r="D30" s="2" t="s">
        <v>17</v>
      </c>
      <c r="E30" s="2" t="s">
        <v>18</v>
      </c>
      <c r="F30" s="2" t="s">
        <v>27</v>
      </c>
      <c r="G30" s="2" t="s">
        <v>36</v>
      </c>
      <c r="H30" s="2">
        <v>2878.12</v>
      </c>
      <c r="I30" s="2">
        <v>1905.67</v>
      </c>
      <c r="J30" s="2">
        <v>972.45</v>
      </c>
      <c r="K30" s="2" t="s">
        <v>21</v>
      </c>
      <c r="L30" s="2"/>
      <c r="M30" s="2">
        <v>4</v>
      </c>
      <c r="N30" s="2" t="s">
        <v>29</v>
      </c>
    </row>
    <row r="31" spans="1:14" x14ac:dyDescent="0.3">
      <c r="A31" s="2" t="s">
        <v>125</v>
      </c>
      <c r="B31" s="2" t="s">
        <v>126</v>
      </c>
      <c r="C31" s="2" t="s">
        <v>25</v>
      </c>
      <c r="D31" s="2" t="s">
        <v>127</v>
      </c>
      <c r="E31" s="2" t="s">
        <v>128</v>
      </c>
      <c r="F31" s="2" t="s">
        <v>87</v>
      </c>
      <c r="G31" s="2" t="s">
        <v>73</v>
      </c>
      <c r="H31" s="2">
        <v>641.61</v>
      </c>
      <c r="I31" s="2">
        <v>509.57</v>
      </c>
      <c r="J31" s="2">
        <v>132.04</v>
      </c>
      <c r="K31" s="2" t="s">
        <v>21</v>
      </c>
      <c r="L31" s="2"/>
      <c r="M31" s="2">
        <v>3</v>
      </c>
      <c r="N31" s="2" t="s">
        <v>22</v>
      </c>
    </row>
    <row r="32" spans="1:14" x14ac:dyDescent="0.3">
      <c r="A32" s="2" t="s">
        <v>129</v>
      </c>
      <c r="B32" s="2" t="s">
        <v>130</v>
      </c>
      <c r="C32" s="2" t="s">
        <v>54</v>
      </c>
      <c r="D32" s="2" t="s">
        <v>7</v>
      </c>
      <c r="E32" s="2" t="s">
        <v>131</v>
      </c>
      <c r="F32" s="2" t="s">
        <v>87</v>
      </c>
      <c r="G32" s="2" t="s">
        <v>73</v>
      </c>
      <c r="H32" s="2">
        <v>3439.52</v>
      </c>
      <c r="I32" s="2">
        <v>2033.04</v>
      </c>
      <c r="J32" s="2">
        <v>1406.48</v>
      </c>
      <c r="K32" s="2" t="s">
        <v>101</v>
      </c>
      <c r="L32" s="2"/>
      <c r="M32" s="2">
        <v>5</v>
      </c>
      <c r="N32" s="2" t="s">
        <v>29</v>
      </c>
    </row>
    <row r="33" spans="1:14" x14ac:dyDescent="0.3">
      <c r="A33" s="2" t="s">
        <v>132</v>
      </c>
      <c r="B33" s="2" t="s">
        <v>133</v>
      </c>
      <c r="C33" s="2" t="s">
        <v>54</v>
      </c>
      <c r="D33" s="2" t="s">
        <v>7</v>
      </c>
      <c r="E33" s="2" t="s">
        <v>134</v>
      </c>
      <c r="F33" s="2" t="s">
        <v>40</v>
      </c>
      <c r="G33" s="2" t="s">
        <v>36</v>
      </c>
      <c r="H33" s="2">
        <v>976.86</v>
      </c>
      <c r="I33" s="2">
        <v>693.94</v>
      </c>
      <c r="J33" s="2">
        <v>282.92</v>
      </c>
      <c r="K33" s="2" t="s">
        <v>21</v>
      </c>
      <c r="L33" s="2"/>
      <c r="M33" s="2">
        <v>4</v>
      </c>
      <c r="N33" s="2" t="s">
        <v>22</v>
      </c>
    </row>
    <row r="34" spans="1:14" x14ac:dyDescent="0.3">
      <c r="A34" s="2" t="s">
        <v>135</v>
      </c>
      <c r="B34" s="2" t="s">
        <v>136</v>
      </c>
      <c r="C34" s="2" t="s">
        <v>54</v>
      </c>
      <c r="D34" s="2" t="s">
        <v>33</v>
      </c>
      <c r="E34" s="2" t="s">
        <v>34</v>
      </c>
      <c r="F34" s="2" t="s">
        <v>35</v>
      </c>
      <c r="G34" s="2" t="s">
        <v>20</v>
      </c>
      <c r="H34" s="2">
        <v>1267.02</v>
      </c>
      <c r="I34" s="2">
        <v>792.78</v>
      </c>
      <c r="J34" s="2">
        <v>474.24</v>
      </c>
      <c r="K34" s="2" t="s">
        <v>21</v>
      </c>
      <c r="L34" s="2"/>
      <c r="M34" s="2">
        <v>3</v>
      </c>
      <c r="N34" s="2" t="s">
        <v>22</v>
      </c>
    </row>
    <row r="35" spans="1:14" x14ac:dyDescent="0.3">
      <c r="A35" s="2" t="s">
        <v>120</v>
      </c>
      <c r="B35" s="2" t="s">
        <v>121</v>
      </c>
      <c r="C35" s="2" t="s">
        <v>54</v>
      </c>
      <c r="D35" s="2" t="s">
        <v>33</v>
      </c>
      <c r="E35" s="2" t="s">
        <v>119</v>
      </c>
      <c r="F35" s="2" t="s">
        <v>87</v>
      </c>
      <c r="G35" s="2" t="s">
        <v>20</v>
      </c>
      <c r="H35" s="2">
        <v>3220.85</v>
      </c>
      <c r="I35" s="2">
        <v>2481.89</v>
      </c>
      <c r="J35" s="2">
        <v>738.96</v>
      </c>
      <c r="K35" s="2" t="s">
        <v>21</v>
      </c>
      <c r="L35" s="2"/>
      <c r="M35" s="2">
        <v>4</v>
      </c>
      <c r="N35" s="2" t="s">
        <v>22</v>
      </c>
    </row>
    <row r="36" spans="1:14" x14ac:dyDescent="0.3">
      <c r="A36" s="2" t="s">
        <v>137</v>
      </c>
      <c r="B36" s="2" t="s">
        <v>138</v>
      </c>
      <c r="C36" s="2" t="s">
        <v>115</v>
      </c>
      <c r="D36" s="2" t="s">
        <v>7</v>
      </c>
      <c r="E36" s="2" t="s">
        <v>55</v>
      </c>
      <c r="F36" s="2" t="s">
        <v>27</v>
      </c>
      <c r="G36" s="2" t="s">
        <v>28</v>
      </c>
      <c r="H36" s="2">
        <v>3158.75</v>
      </c>
      <c r="I36" s="2">
        <v>2322.77</v>
      </c>
      <c r="J36" s="2">
        <v>835.98</v>
      </c>
      <c r="K36" s="2" t="s">
        <v>21</v>
      </c>
      <c r="L36" s="2"/>
      <c r="M36" s="2">
        <v>3</v>
      </c>
      <c r="N36" s="2" t="s">
        <v>22</v>
      </c>
    </row>
    <row r="37" spans="1:14" x14ac:dyDescent="0.3">
      <c r="A37" s="2" t="s">
        <v>139</v>
      </c>
      <c r="B37" s="2" t="s">
        <v>140</v>
      </c>
      <c r="C37" s="2" t="s">
        <v>104</v>
      </c>
      <c r="D37" s="2" t="s">
        <v>7</v>
      </c>
      <c r="E37" s="2" t="s">
        <v>69</v>
      </c>
      <c r="F37" s="2" t="s">
        <v>35</v>
      </c>
      <c r="G37" s="2" t="s">
        <v>73</v>
      </c>
      <c r="H37" s="2">
        <v>2149.4699999999998</v>
      </c>
      <c r="I37" s="2">
        <v>1272.69</v>
      </c>
      <c r="J37" s="2">
        <v>876.78</v>
      </c>
      <c r="K37" s="2" t="s">
        <v>56</v>
      </c>
      <c r="L37" s="2">
        <v>4</v>
      </c>
      <c r="M37" s="2">
        <v>5</v>
      </c>
      <c r="N37" s="2" t="s">
        <v>22</v>
      </c>
    </row>
    <row r="38" spans="1:14" x14ac:dyDescent="0.3">
      <c r="A38" s="2" t="s">
        <v>141</v>
      </c>
      <c r="B38" s="2" t="s">
        <v>142</v>
      </c>
      <c r="C38" s="2" t="s">
        <v>76</v>
      </c>
      <c r="D38" s="2" t="s">
        <v>33</v>
      </c>
      <c r="E38" s="2" t="s">
        <v>34</v>
      </c>
      <c r="F38" s="2" t="s">
        <v>27</v>
      </c>
      <c r="G38" s="2" t="s">
        <v>73</v>
      </c>
      <c r="H38" s="2">
        <v>2895.67</v>
      </c>
      <c r="I38" s="2">
        <v>2167.09</v>
      </c>
      <c r="J38" s="2">
        <v>728.58</v>
      </c>
      <c r="K38" s="2" t="s">
        <v>21</v>
      </c>
      <c r="L38" s="2"/>
      <c r="M38" s="2">
        <v>3</v>
      </c>
      <c r="N38" s="2" t="s">
        <v>22</v>
      </c>
    </row>
    <row r="39" spans="1:14" x14ac:dyDescent="0.3">
      <c r="A39" s="2" t="s">
        <v>143</v>
      </c>
      <c r="B39" s="2" t="s">
        <v>144</v>
      </c>
      <c r="C39" s="2" t="s">
        <v>68</v>
      </c>
      <c r="D39" s="2" t="s">
        <v>33</v>
      </c>
      <c r="E39" s="2" t="s">
        <v>105</v>
      </c>
      <c r="F39" s="2" t="s">
        <v>40</v>
      </c>
      <c r="G39" s="2" t="s">
        <v>28</v>
      </c>
      <c r="H39" s="2">
        <v>397.06</v>
      </c>
      <c r="I39" s="2">
        <v>314.91000000000003</v>
      </c>
      <c r="J39" s="2">
        <v>82.15</v>
      </c>
      <c r="K39" s="2" t="s">
        <v>21</v>
      </c>
      <c r="L39" s="2"/>
      <c r="M39" s="2">
        <v>4</v>
      </c>
      <c r="N39" s="2" t="s">
        <v>22</v>
      </c>
    </row>
    <row r="40" spans="1:14" x14ac:dyDescent="0.3">
      <c r="A40" s="2" t="s">
        <v>145</v>
      </c>
      <c r="B40" s="2" t="s">
        <v>146</v>
      </c>
      <c r="C40" s="2" t="s">
        <v>104</v>
      </c>
      <c r="D40" s="2" t="s">
        <v>7</v>
      </c>
      <c r="E40" s="2" t="s">
        <v>134</v>
      </c>
      <c r="F40" s="2" t="s">
        <v>84</v>
      </c>
      <c r="G40" s="2" t="s">
        <v>36</v>
      </c>
      <c r="H40" s="2">
        <v>2621.46</v>
      </c>
      <c r="I40" s="2">
        <v>2011.9</v>
      </c>
      <c r="J40" s="2">
        <v>609.55999999999995</v>
      </c>
      <c r="K40" s="2" t="s">
        <v>21</v>
      </c>
      <c r="L40" s="2"/>
      <c r="M40" s="2">
        <v>4</v>
      </c>
      <c r="N40" s="2" t="s">
        <v>29</v>
      </c>
    </row>
    <row r="41" spans="1:14" x14ac:dyDescent="0.3">
      <c r="A41" s="2" t="s">
        <v>147</v>
      </c>
      <c r="B41" s="2" t="s">
        <v>121</v>
      </c>
      <c r="C41" s="2" t="s">
        <v>54</v>
      </c>
      <c r="D41" s="2" t="s">
        <v>7</v>
      </c>
      <c r="E41" s="2" t="s">
        <v>55</v>
      </c>
      <c r="F41" s="2" t="s">
        <v>84</v>
      </c>
      <c r="G41" s="2" t="s">
        <v>73</v>
      </c>
      <c r="H41" s="2">
        <v>738.39</v>
      </c>
      <c r="I41" s="2">
        <v>430.51</v>
      </c>
      <c r="J41" s="2">
        <v>307.88</v>
      </c>
      <c r="K41" s="2" t="s">
        <v>21</v>
      </c>
      <c r="L41" s="2"/>
      <c r="M41" s="2">
        <v>5</v>
      </c>
      <c r="N41" s="2" t="s">
        <v>22</v>
      </c>
    </row>
    <row r="42" spans="1:14" x14ac:dyDescent="0.3">
      <c r="A42" s="2" t="s">
        <v>148</v>
      </c>
      <c r="B42" s="2" t="s">
        <v>149</v>
      </c>
      <c r="C42" s="2" t="s">
        <v>76</v>
      </c>
      <c r="D42" s="2" t="s">
        <v>59</v>
      </c>
      <c r="E42" s="2" t="s">
        <v>108</v>
      </c>
      <c r="F42" s="2" t="s">
        <v>27</v>
      </c>
      <c r="G42" s="2" t="s">
        <v>73</v>
      </c>
      <c r="H42" s="2">
        <v>2741.83</v>
      </c>
      <c r="I42" s="2">
        <v>1839.59</v>
      </c>
      <c r="J42" s="2">
        <v>902.24</v>
      </c>
      <c r="K42" s="2" t="s">
        <v>21</v>
      </c>
      <c r="L42" s="2"/>
      <c r="M42" s="2">
        <v>2</v>
      </c>
      <c r="N42" s="2" t="s">
        <v>22</v>
      </c>
    </row>
    <row r="43" spans="1:14" x14ac:dyDescent="0.3">
      <c r="A43" s="2" t="s">
        <v>150</v>
      </c>
      <c r="B43" s="2" t="s">
        <v>151</v>
      </c>
      <c r="C43" s="2" t="s">
        <v>76</v>
      </c>
      <c r="D43" s="2" t="s">
        <v>17</v>
      </c>
      <c r="E43" s="2" t="s">
        <v>72</v>
      </c>
      <c r="F43" s="2" t="s">
        <v>84</v>
      </c>
      <c r="G43" s="2" t="s">
        <v>36</v>
      </c>
      <c r="H43" s="2">
        <v>196.48</v>
      </c>
      <c r="I43" s="2">
        <v>113.56</v>
      </c>
      <c r="J43" s="2">
        <v>82.92</v>
      </c>
      <c r="K43" s="2" t="s">
        <v>21</v>
      </c>
      <c r="L43" s="2"/>
      <c r="M43" s="2">
        <v>2</v>
      </c>
      <c r="N43" s="2" t="s">
        <v>22</v>
      </c>
    </row>
    <row r="44" spans="1:14" x14ac:dyDescent="0.3">
      <c r="A44" s="2" t="s">
        <v>152</v>
      </c>
      <c r="B44" s="2" t="s">
        <v>153</v>
      </c>
      <c r="C44" s="2" t="s">
        <v>54</v>
      </c>
      <c r="D44" s="2" t="s">
        <v>7</v>
      </c>
      <c r="E44" s="2" t="s">
        <v>134</v>
      </c>
      <c r="F44" s="2" t="s">
        <v>19</v>
      </c>
      <c r="G44" s="2" t="s">
        <v>36</v>
      </c>
      <c r="H44" s="2">
        <v>3833.27</v>
      </c>
      <c r="I44" s="2">
        <v>2974.78</v>
      </c>
      <c r="J44" s="2">
        <v>858.49</v>
      </c>
      <c r="K44" s="2" t="s">
        <v>21</v>
      </c>
      <c r="L44" s="2"/>
      <c r="M44" s="2">
        <v>4</v>
      </c>
      <c r="N44" s="2" t="s">
        <v>22</v>
      </c>
    </row>
    <row r="45" spans="1:14" x14ac:dyDescent="0.3">
      <c r="A45" s="2" t="s">
        <v>154</v>
      </c>
      <c r="B45" s="2" t="s">
        <v>67</v>
      </c>
      <c r="C45" s="2" t="s">
        <v>68</v>
      </c>
      <c r="D45" s="2" t="s">
        <v>59</v>
      </c>
      <c r="E45" s="2" t="s">
        <v>155</v>
      </c>
      <c r="F45" s="2" t="s">
        <v>40</v>
      </c>
      <c r="G45" s="2" t="s">
        <v>44</v>
      </c>
      <c r="H45" s="2">
        <v>2457.58</v>
      </c>
      <c r="I45" s="2">
        <v>1450.4</v>
      </c>
      <c r="J45" s="2">
        <v>1007.18</v>
      </c>
      <c r="K45" s="2" t="s">
        <v>21</v>
      </c>
      <c r="L45" s="2"/>
      <c r="M45" s="2">
        <v>4</v>
      </c>
      <c r="N45" s="2" t="s">
        <v>29</v>
      </c>
    </row>
    <row r="46" spans="1:14" x14ac:dyDescent="0.3">
      <c r="A46" s="2" t="s">
        <v>156</v>
      </c>
      <c r="B46" s="2" t="s">
        <v>157</v>
      </c>
      <c r="C46" s="2" t="s">
        <v>54</v>
      </c>
      <c r="D46" s="2" t="s">
        <v>17</v>
      </c>
      <c r="E46" s="2" t="s">
        <v>72</v>
      </c>
      <c r="F46" s="2" t="s">
        <v>19</v>
      </c>
      <c r="G46" s="2" t="s">
        <v>28</v>
      </c>
      <c r="H46" s="2">
        <v>2249.8200000000002</v>
      </c>
      <c r="I46" s="2">
        <v>1633.31</v>
      </c>
      <c r="J46" s="2">
        <v>616.51</v>
      </c>
      <c r="K46" s="2" t="s">
        <v>21</v>
      </c>
      <c r="L46" s="2"/>
      <c r="M46" s="2">
        <v>5</v>
      </c>
      <c r="N46" s="2" t="s">
        <v>22</v>
      </c>
    </row>
    <row r="47" spans="1:14" x14ac:dyDescent="0.3">
      <c r="A47" s="2" t="s">
        <v>158</v>
      </c>
      <c r="B47" s="2" t="s">
        <v>159</v>
      </c>
      <c r="C47" s="2" t="s">
        <v>54</v>
      </c>
      <c r="D47" s="2" t="s">
        <v>33</v>
      </c>
      <c r="E47" s="2" t="s">
        <v>34</v>
      </c>
      <c r="F47" s="2" t="s">
        <v>35</v>
      </c>
      <c r="G47" s="2" t="s">
        <v>44</v>
      </c>
      <c r="H47" s="2">
        <v>1747.49</v>
      </c>
      <c r="I47" s="2">
        <v>1016.85</v>
      </c>
      <c r="J47" s="2">
        <v>730.64</v>
      </c>
      <c r="K47" s="2" t="s">
        <v>21</v>
      </c>
      <c r="L47" s="2"/>
      <c r="M47" s="2">
        <v>5</v>
      </c>
      <c r="N47" s="2" t="s">
        <v>29</v>
      </c>
    </row>
    <row r="48" spans="1:14" x14ac:dyDescent="0.3">
      <c r="A48" s="2" t="s">
        <v>160</v>
      </c>
      <c r="B48" s="2" t="s">
        <v>161</v>
      </c>
      <c r="C48" s="2" t="s">
        <v>54</v>
      </c>
      <c r="D48" s="2" t="s">
        <v>42</v>
      </c>
      <c r="E48" s="2" t="s">
        <v>162</v>
      </c>
      <c r="F48" s="2" t="s">
        <v>19</v>
      </c>
      <c r="G48" s="2" t="s">
        <v>20</v>
      </c>
      <c r="H48" s="2">
        <v>214.07</v>
      </c>
      <c r="I48" s="2">
        <v>160.41</v>
      </c>
      <c r="J48" s="2">
        <v>53.66</v>
      </c>
      <c r="K48" s="2" t="s">
        <v>90</v>
      </c>
      <c r="L48" s="2">
        <v>5</v>
      </c>
      <c r="M48" s="2">
        <v>2</v>
      </c>
      <c r="N48" s="2" t="s">
        <v>22</v>
      </c>
    </row>
    <row r="49" spans="1:14" x14ac:dyDescent="0.3">
      <c r="A49" s="2" t="s">
        <v>163</v>
      </c>
      <c r="B49" s="2" t="s">
        <v>164</v>
      </c>
      <c r="C49" s="2" t="s">
        <v>25</v>
      </c>
      <c r="D49" s="2" t="s">
        <v>59</v>
      </c>
      <c r="E49" s="2" t="s">
        <v>60</v>
      </c>
      <c r="F49" s="2" t="s">
        <v>84</v>
      </c>
      <c r="G49" s="2" t="s">
        <v>28</v>
      </c>
      <c r="H49" s="2">
        <v>1680.68</v>
      </c>
      <c r="I49" s="2">
        <v>1217.78</v>
      </c>
      <c r="J49" s="2">
        <v>462.9</v>
      </c>
      <c r="K49" s="2" t="s">
        <v>56</v>
      </c>
      <c r="L49" s="2">
        <v>5</v>
      </c>
      <c r="M49" s="2">
        <v>5</v>
      </c>
      <c r="N49" s="2" t="s">
        <v>22</v>
      </c>
    </row>
    <row r="50" spans="1:14" x14ac:dyDescent="0.3">
      <c r="A50" s="2" t="s">
        <v>165</v>
      </c>
      <c r="B50" s="2" t="s">
        <v>166</v>
      </c>
      <c r="C50" s="2" t="s">
        <v>68</v>
      </c>
      <c r="D50" s="2" t="s">
        <v>17</v>
      </c>
      <c r="E50" s="2" t="s">
        <v>18</v>
      </c>
      <c r="F50" s="2" t="s">
        <v>19</v>
      </c>
      <c r="G50" s="2" t="s">
        <v>20</v>
      </c>
      <c r="H50" s="2">
        <v>1857.49</v>
      </c>
      <c r="I50" s="2">
        <v>1455.33</v>
      </c>
      <c r="J50" s="2">
        <v>402.16</v>
      </c>
      <c r="K50" s="2" t="s">
        <v>21</v>
      </c>
      <c r="L50" s="2"/>
      <c r="M50" s="2">
        <v>4</v>
      </c>
      <c r="N50" s="2" t="s">
        <v>29</v>
      </c>
    </row>
    <row r="51" spans="1:14" x14ac:dyDescent="0.3">
      <c r="A51" s="2" t="s">
        <v>167</v>
      </c>
      <c r="B51" s="2" t="s">
        <v>168</v>
      </c>
      <c r="C51" s="2" t="s">
        <v>64</v>
      </c>
      <c r="D51" s="2" t="s">
        <v>7</v>
      </c>
      <c r="E51" s="2" t="s">
        <v>55</v>
      </c>
      <c r="F51" s="2" t="s">
        <v>19</v>
      </c>
      <c r="G51" s="2" t="s">
        <v>36</v>
      </c>
      <c r="H51" s="2">
        <v>1304.77</v>
      </c>
      <c r="I51" s="2">
        <v>744.37</v>
      </c>
      <c r="J51" s="2">
        <v>560.4</v>
      </c>
      <c r="K51" s="2" t="s">
        <v>56</v>
      </c>
      <c r="L51" s="2">
        <v>3</v>
      </c>
      <c r="M51" s="2">
        <v>5</v>
      </c>
      <c r="N51" s="2" t="s">
        <v>22</v>
      </c>
    </row>
    <row r="52" spans="1:14" x14ac:dyDescent="0.3">
      <c r="A52" s="2" t="s">
        <v>169</v>
      </c>
      <c r="B52" s="2" t="s">
        <v>170</v>
      </c>
      <c r="C52" s="2" t="s">
        <v>115</v>
      </c>
      <c r="D52" s="2" t="s">
        <v>33</v>
      </c>
      <c r="E52" s="2" t="s">
        <v>171</v>
      </c>
      <c r="F52" s="2" t="s">
        <v>27</v>
      </c>
      <c r="G52" s="2" t="s">
        <v>36</v>
      </c>
      <c r="H52" s="2">
        <v>4585.2</v>
      </c>
      <c r="I52" s="2">
        <v>3153.78</v>
      </c>
      <c r="J52" s="2">
        <v>1431.42</v>
      </c>
      <c r="K52" s="2" t="s">
        <v>21</v>
      </c>
      <c r="L52" s="2"/>
      <c r="M52" s="2">
        <v>5</v>
      </c>
      <c r="N52" s="2" t="s">
        <v>29</v>
      </c>
    </row>
    <row r="53" spans="1:14" x14ac:dyDescent="0.3">
      <c r="A53" s="2" t="s">
        <v>172</v>
      </c>
      <c r="B53" s="2" t="s">
        <v>173</v>
      </c>
      <c r="C53" s="2" t="s">
        <v>54</v>
      </c>
      <c r="D53" s="2" t="s">
        <v>59</v>
      </c>
      <c r="E53" s="2" t="s">
        <v>116</v>
      </c>
      <c r="F53" s="2" t="s">
        <v>19</v>
      </c>
      <c r="G53" s="2" t="s">
        <v>28</v>
      </c>
      <c r="H53" s="2">
        <v>2537.2800000000002</v>
      </c>
      <c r="I53" s="2">
        <v>1746.22</v>
      </c>
      <c r="J53" s="2">
        <v>791.06</v>
      </c>
      <c r="K53" s="2" t="s">
        <v>21</v>
      </c>
      <c r="L53" s="2"/>
      <c r="M53" s="2">
        <v>3</v>
      </c>
      <c r="N53" s="2" t="s">
        <v>22</v>
      </c>
    </row>
    <row r="54" spans="1:14" x14ac:dyDescent="0.3">
      <c r="A54" s="2" t="s">
        <v>174</v>
      </c>
      <c r="B54" s="2" t="s">
        <v>175</v>
      </c>
      <c r="C54" s="2" t="s">
        <v>104</v>
      </c>
      <c r="D54" s="2" t="s">
        <v>59</v>
      </c>
      <c r="E54" s="2" t="s">
        <v>155</v>
      </c>
      <c r="F54" s="2" t="s">
        <v>19</v>
      </c>
      <c r="G54" s="2" t="s">
        <v>176</v>
      </c>
      <c r="H54" s="2">
        <v>3163.95</v>
      </c>
      <c r="I54" s="2">
        <v>2377.2600000000002</v>
      </c>
      <c r="J54" s="2">
        <v>786.69</v>
      </c>
      <c r="K54" s="2" t="s">
        <v>21</v>
      </c>
      <c r="L54" s="2"/>
      <c r="M54" s="2">
        <v>5</v>
      </c>
      <c r="N54" s="2" t="s">
        <v>22</v>
      </c>
    </row>
    <row r="55" spans="1:14" x14ac:dyDescent="0.3">
      <c r="A55" s="2" t="s">
        <v>177</v>
      </c>
      <c r="B55" s="2" t="s">
        <v>178</v>
      </c>
      <c r="C55" s="2" t="s">
        <v>179</v>
      </c>
      <c r="D55" s="2" t="s">
        <v>42</v>
      </c>
      <c r="E55" s="2" t="s">
        <v>80</v>
      </c>
      <c r="F55" s="2" t="s">
        <v>87</v>
      </c>
      <c r="G55" s="2" t="s">
        <v>44</v>
      </c>
      <c r="H55" s="2">
        <v>1299.97</v>
      </c>
      <c r="I55" s="2">
        <v>1085.1099999999999</v>
      </c>
      <c r="J55" s="2">
        <v>214.86</v>
      </c>
      <c r="K55" s="2" t="s">
        <v>21</v>
      </c>
      <c r="L55" s="2"/>
      <c r="M55" s="2">
        <v>5</v>
      </c>
      <c r="N55" s="2" t="s">
        <v>29</v>
      </c>
    </row>
    <row r="56" spans="1:14" x14ac:dyDescent="0.3">
      <c r="A56" s="2" t="s">
        <v>180</v>
      </c>
      <c r="B56" s="2" t="s">
        <v>181</v>
      </c>
      <c r="C56" s="2" t="s">
        <v>115</v>
      </c>
      <c r="D56" s="2" t="s">
        <v>7</v>
      </c>
      <c r="E56" s="2" t="s">
        <v>182</v>
      </c>
      <c r="F56" s="2" t="s">
        <v>87</v>
      </c>
      <c r="G56" s="2" t="s">
        <v>20</v>
      </c>
      <c r="H56" s="2">
        <v>1150.24</v>
      </c>
      <c r="I56" s="2">
        <v>910.49</v>
      </c>
      <c r="J56" s="2">
        <v>239.75</v>
      </c>
      <c r="K56" s="2" t="s">
        <v>21</v>
      </c>
      <c r="L56" s="2"/>
      <c r="M56" s="2">
        <v>1</v>
      </c>
      <c r="N56" s="2" t="s">
        <v>22</v>
      </c>
    </row>
    <row r="57" spans="1:14" x14ac:dyDescent="0.3">
      <c r="A57" s="2" t="s">
        <v>183</v>
      </c>
      <c r="B57" s="2" t="s">
        <v>184</v>
      </c>
      <c r="C57" s="2" t="s">
        <v>179</v>
      </c>
      <c r="D57" s="2" t="s">
        <v>7</v>
      </c>
      <c r="E57" s="2" t="s">
        <v>185</v>
      </c>
      <c r="F57" s="2" t="s">
        <v>40</v>
      </c>
      <c r="G57" s="2" t="s">
        <v>44</v>
      </c>
      <c r="H57" s="2">
        <v>1376.24</v>
      </c>
      <c r="I57" s="2">
        <v>1024.3699999999999</v>
      </c>
      <c r="J57" s="2">
        <v>351.87</v>
      </c>
      <c r="K57" s="2" t="s">
        <v>21</v>
      </c>
      <c r="L57" s="2"/>
      <c r="M57" s="2">
        <v>4</v>
      </c>
      <c r="N57" s="2" t="s">
        <v>29</v>
      </c>
    </row>
    <row r="58" spans="1:14" x14ac:dyDescent="0.3">
      <c r="A58" s="2" t="s">
        <v>186</v>
      </c>
      <c r="B58" s="2" t="s">
        <v>187</v>
      </c>
      <c r="C58" s="2" t="s">
        <v>16</v>
      </c>
      <c r="D58" s="2" t="s">
        <v>17</v>
      </c>
      <c r="E58" s="2" t="s">
        <v>100</v>
      </c>
      <c r="F58" s="2" t="s">
        <v>87</v>
      </c>
      <c r="G58" s="2" t="s">
        <v>44</v>
      </c>
      <c r="H58" s="2">
        <v>2556.27</v>
      </c>
      <c r="I58" s="2">
        <v>2019.68</v>
      </c>
      <c r="J58" s="2">
        <v>536.59</v>
      </c>
      <c r="K58" s="2" t="s">
        <v>56</v>
      </c>
      <c r="L58" s="2">
        <v>4</v>
      </c>
      <c r="M58" s="2">
        <v>1</v>
      </c>
      <c r="N58" s="2" t="s">
        <v>22</v>
      </c>
    </row>
    <row r="59" spans="1:14" x14ac:dyDescent="0.3">
      <c r="A59" s="2" t="s">
        <v>188</v>
      </c>
      <c r="B59" s="2" t="s">
        <v>189</v>
      </c>
      <c r="C59" s="2" t="s">
        <v>16</v>
      </c>
      <c r="D59" s="2" t="s">
        <v>42</v>
      </c>
      <c r="E59" s="2" t="s">
        <v>77</v>
      </c>
      <c r="F59" s="2" t="s">
        <v>87</v>
      </c>
      <c r="G59" s="2" t="s">
        <v>36</v>
      </c>
      <c r="H59" s="2">
        <v>2313.34</v>
      </c>
      <c r="I59" s="2">
        <v>2113.48</v>
      </c>
      <c r="J59" s="2">
        <v>199.86</v>
      </c>
      <c r="K59" s="2" t="s">
        <v>56</v>
      </c>
      <c r="L59" s="2">
        <v>5</v>
      </c>
      <c r="M59" s="2">
        <v>4</v>
      </c>
      <c r="N59" s="2" t="s">
        <v>22</v>
      </c>
    </row>
    <row r="60" spans="1:14" x14ac:dyDescent="0.3">
      <c r="A60" s="2" t="s">
        <v>190</v>
      </c>
      <c r="B60" s="2" t="s">
        <v>191</v>
      </c>
      <c r="C60" s="2" t="s">
        <v>32</v>
      </c>
      <c r="D60" s="2" t="s">
        <v>59</v>
      </c>
      <c r="E60" s="2" t="s">
        <v>155</v>
      </c>
      <c r="F60" s="2" t="s">
        <v>40</v>
      </c>
      <c r="G60" s="2" t="s">
        <v>20</v>
      </c>
      <c r="H60" s="2">
        <v>1506.3</v>
      </c>
      <c r="I60" s="2">
        <v>844.22</v>
      </c>
      <c r="J60" s="2">
        <v>662.08</v>
      </c>
      <c r="K60" s="2" t="s">
        <v>21</v>
      </c>
      <c r="L60" s="2"/>
      <c r="M60" s="2">
        <v>5</v>
      </c>
      <c r="N60" s="2" t="s">
        <v>22</v>
      </c>
    </row>
    <row r="61" spans="1:14" x14ac:dyDescent="0.3">
      <c r="A61" s="2" t="s">
        <v>192</v>
      </c>
      <c r="B61" s="2" t="s">
        <v>193</v>
      </c>
      <c r="C61" s="2" t="s">
        <v>76</v>
      </c>
      <c r="D61" s="2" t="s">
        <v>59</v>
      </c>
      <c r="E61" s="2" t="s">
        <v>194</v>
      </c>
      <c r="F61" s="2" t="s">
        <v>27</v>
      </c>
      <c r="G61" s="2" t="s">
        <v>44</v>
      </c>
      <c r="H61" s="2">
        <v>2764.73</v>
      </c>
      <c r="I61" s="2">
        <v>1882.98</v>
      </c>
      <c r="J61" s="2">
        <v>881.75</v>
      </c>
      <c r="K61" s="2" t="s">
        <v>56</v>
      </c>
      <c r="L61" s="2">
        <v>4</v>
      </c>
      <c r="M61" s="2">
        <v>4</v>
      </c>
      <c r="N61" s="2" t="s">
        <v>22</v>
      </c>
    </row>
    <row r="62" spans="1:14" x14ac:dyDescent="0.3">
      <c r="A62" s="2" t="s">
        <v>195</v>
      </c>
      <c r="B62" s="2" t="s">
        <v>196</v>
      </c>
      <c r="C62" s="2" t="s">
        <v>68</v>
      </c>
      <c r="D62" s="2" t="s">
        <v>33</v>
      </c>
      <c r="E62" s="2" t="s">
        <v>93</v>
      </c>
      <c r="F62" s="2" t="s">
        <v>19</v>
      </c>
      <c r="G62" s="2" t="s">
        <v>44</v>
      </c>
      <c r="H62" s="2">
        <v>3014.26</v>
      </c>
      <c r="I62" s="2">
        <v>1723.01</v>
      </c>
      <c r="J62" s="2">
        <v>1291.25</v>
      </c>
      <c r="K62" s="2" t="s">
        <v>21</v>
      </c>
      <c r="L62" s="2"/>
      <c r="M62" s="2">
        <v>4</v>
      </c>
      <c r="N62" s="2" t="s">
        <v>22</v>
      </c>
    </row>
    <row r="63" spans="1:14" x14ac:dyDescent="0.3">
      <c r="A63" s="2" t="s">
        <v>197</v>
      </c>
      <c r="B63" s="2" t="s">
        <v>198</v>
      </c>
      <c r="C63" s="2" t="s">
        <v>76</v>
      </c>
      <c r="D63" s="2" t="s">
        <v>42</v>
      </c>
      <c r="E63" s="2" t="s">
        <v>162</v>
      </c>
      <c r="F63" s="2" t="s">
        <v>19</v>
      </c>
      <c r="G63" s="2" t="s">
        <v>20</v>
      </c>
      <c r="H63" s="2">
        <v>2635.59</v>
      </c>
      <c r="I63" s="2">
        <v>2314.7600000000002</v>
      </c>
      <c r="J63" s="2">
        <v>320.83</v>
      </c>
      <c r="K63" s="2" t="s">
        <v>21</v>
      </c>
      <c r="L63" s="2"/>
      <c r="M63" s="2">
        <v>5</v>
      </c>
      <c r="N63" s="2" t="s">
        <v>29</v>
      </c>
    </row>
    <row r="64" spans="1:14" x14ac:dyDescent="0.3">
      <c r="A64" s="2" t="s">
        <v>199</v>
      </c>
      <c r="B64" s="2" t="s">
        <v>200</v>
      </c>
      <c r="C64" s="2" t="s">
        <v>179</v>
      </c>
      <c r="D64" s="2" t="s">
        <v>17</v>
      </c>
      <c r="E64" s="2" t="s">
        <v>18</v>
      </c>
      <c r="F64" s="2" t="s">
        <v>84</v>
      </c>
      <c r="G64" s="2" t="s">
        <v>28</v>
      </c>
      <c r="H64" s="2">
        <v>600.92999999999995</v>
      </c>
      <c r="I64" s="2">
        <v>358.07</v>
      </c>
      <c r="J64" s="2">
        <v>242.86</v>
      </c>
      <c r="K64" s="2" t="s">
        <v>90</v>
      </c>
      <c r="L64" s="2">
        <v>6</v>
      </c>
      <c r="M64" s="2">
        <v>3</v>
      </c>
      <c r="N64" s="2" t="s">
        <v>22</v>
      </c>
    </row>
    <row r="65" spans="1:14" x14ac:dyDescent="0.3">
      <c r="A65" s="2" t="s">
        <v>201</v>
      </c>
      <c r="B65" s="2" t="s">
        <v>202</v>
      </c>
      <c r="C65" s="2" t="s">
        <v>115</v>
      </c>
      <c r="D65" s="2" t="s">
        <v>17</v>
      </c>
      <c r="E65" s="2" t="s">
        <v>51</v>
      </c>
      <c r="F65" s="2" t="s">
        <v>27</v>
      </c>
      <c r="G65" s="2" t="s">
        <v>44</v>
      </c>
      <c r="H65" s="2">
        <v>2083.5100000000002</v>
      </c>
      <c r="I65" s="2">
        <v>1606.17</v>
      </c>
      <c r="J65" s="2">
        <v>477.34</v>
      </c>
      <c r="K65" s="2" t="s">
        <v>21</v>
      </c>
      <c r="L65" s="2"/>
      <c r="M65" s="2">
        <v>3</v>
      </c>
      <c r="N65" s="2" t="s">
        <v>22</v>
      </c>
    </row>
    <row r="66" spans="1:14" x14ac:dyDescent="0.3">
      <c r="A66" s="2" t="s">
        <v>203</v>
      </c>
      <c r="B66" s="2" t="s">
        <v>204</v>
      </c>
      <c r="C66" s="2" t="s">
        <v>179</v>
      </c>
      <c r="D66" s="2" t="s">
        <v>33</v>
      </c>
      <c r="E66" s="2" t="s">
        <v>205</v>
      </c>
      <c r="F66" s="2" t="s">
        <v>84</v>
      </c>
      <c r="G66" s="2" t="s">
        <v>73</v>
      </c>
      <c r="H66" s="2">
        <v>3445.71</v>
      </c>
      <c r="I66" s="2">
        <v>2002.62</v>
      </c>
      <c r="J66" s="2">
        <v>1443.09</v>
      </c>
      <c r="K66" s="2" t="s">
        <v>21</v>
      </c>
      <c r="L66" s="2"/>
      <c r="M66" s="2">
        <v>4</v>
      </c>
      <c r="N66" s="2" t="s">
        <v>29</v>
      </c>
    </row>
    <row r="67" spans="1:14" x14ac:dyDescent="0.3">
      <c r="A67" s="2" t="s">
        <v>206</v>
      </c>
      <c r="B67" s="2" t="s">
        <v>207</v>
      </c>
      <c r="C67" s="2" t="s">
        <v>115</v>
      </c>
      <c r="D67" s="2" t="s">
        <v>7</v>
      </c>
      <c r="E67" s="2" t="s">
        <v>55</v>
      </c>
      <c r="F67" s="2" t="s">
        <v>84</v>
      </c>
      <c r="G67" s="2" t="s">
        <v>20</v>
      </c>
      <c r="H67" s="2">
        <v>1728.16</v>
      </c>
      <c r="I67" s="2">
        <v>1128.9000000000001</v>
      </c>
      <c r="J67" s="2">
        <v>599.26</v>
      </c>
      <c r="K67" s="2" t="s">
        <v>21</v>
      </c>
      <c r="L67" s="2"/>
      <c r="M67" s="2">
        <v>5</v>
      </c>
      <c r="N67" s="2" t="s">
        <v>22</v>
      </c>
    </row>
    <row r="68" spans="1:14" x14ac:dyDescent="0.3">
      <c r="A68" s="2" t="s">
        <v>208</v>
      </c>
      <c r="B68" s="2" t="s">
        <v>209</v>
      </c>
      <c r="C68" s="2" t="s">
        <v>68</v>
      </c>
      <c r="D68" s="2" t="s">
        <v>33</v>
      </c>
      <c r="E68" s="2" t="s">
        <v>34</v>
      </c>
      <c r="F68" s="2" t="s">
        <v>87</v>
      </c>
      <c r="G68" s="2" t="s">
        <v>73</v>
      </c>
      <c r="H68" s="2">
        <v>3077.06</v>
      </c>
      <c r="I68" s="2">
        <v>1927.45</v>
      </c>
      <c r="J68" s="2">
        <v>1149.6099999999999</v>
      </c>
      <c r="K68" s="2" t="s">
        <v>21</v>
      </c>
      <c r="L68" s="2"/>
      <c r="M68" s="2">
        <v>4</v>
      </c>
      <c r="N68" s="2" t="s">
        <v>29</v>
      </c>
    </row>
    <row r="69" spans="1:14" x14ac:dyDescent="0.3">
      <c r="A69" s="2" t="s">
        <v>210</v>
      </c>
      <c r="B69" s="2" t="s">
        <v>211</v>
      </c>
      <c r="C69" s="2" t="s">
        <v>64</v>
      </c>
      <c r="D69" s="2" t="s">
        <v>17</v>
      </c>
      <c r="E69" s="2" t="s">
        <v>26</v>
      </c>
      <c r="F69" s="2" t="s">
        <v>35</v>
      </c>
      <c r="G69" s="2" t="s">
        <v>36</v>
      </c>
      <c r="H69" s="2">
        <v>1631.16</v>
      </c>
      <c r="I69" s="2">
        <v>909.81</v>
      </c>
      <c r="J69" s="2">
        <v>721.35</v>
      </c>
      <c r="K69" s="2" t="s">
        <v>21</v>
      </c>
      <c r="L69" s="2"/>
      <c r="M69" s="2">
        <v>4</v>
      </c>
      <c r="N69" s="2" t="s">
        <v>29</v>
      </c>
    </row>
    <row r="70" spans="1:14" x14ac:dyDescent="0.3">
      <c r="A70" s="2" t="s">
        <v>212</v>
      </c>
      <c r="B70" s="2" t="s">
        <v>213</v>
      </c>
      <c r="C70" s="2" t="s">
        <v>25</v>
      </c>
      <c r="D70" s="2" t="s">
        <v>42</v>
      </c>
      <c r="E70" s="2" t="s">
        <v>214</v>
      </c>
      <c r="F70" s="2" t="s">
        <v>19</v>
      </c>
      <c r="G70" s="2" t="s">
        <v>20</v>
      </c>
      <c r="H70" s="2">
        <v>2734.6</v>
      </c>
      <c r="I70" s="2">
        <v>2481.75</v>
      </c>
      <c r="J70" s="2">
        <v>252.85</v>
      </c>
      <c r="K70" s="2" t="s">
        <v>21</v>
      </c>
      <c r="L70" s="2"/>
      <c r="M70" s="2">
        <v>4</v>
      </c>
      <c r="N70" s="2" t="s">
        <v>22</v>
      </c>
    </row>
    <row r="71" spans="1:14" x14ac:dyDescent="0.3">
      <c r="A71" s="2" t="s">
        <v>215</v>
      </c>
      <c r="B71" s="2" t="s">
        <v>216</v>
      </c>
      <c r="C71" s="2" t="s">
        <v>32</v>
      </c>
      <c r="D71" s="2" t="s">
        <v>33</v>
      </c>
      <c r="E71" s="2" t="s">
        <v>119</v>
      </c>
      <c r="F71" s="2" t="s">
        <v>40</v>
      </c>
      <c r="G71" s="2" t="s">
        <v>36</v>
      </c>
      <c r="H71" s="2">
        <v>4752.0200000000004</v>
      </c>
      <c r="I71" s="2">
        <v>3255.93</v>
      </c>
      <c r="J71" s="2">
        <v>1496.09</v>
      </c>
      <c r="K71" s="2" t="s">
        <v>21</v>
      </c>
      <c r="L71" s="2"/>
      <c r="M71" s="2">
        <v>5</v>
      </c>
      <c r="N71" s="2" t="s">
        <v>29</v>
      </c>
    </row>
    <row r="72" spans="1:14" x14ac:dyDescent="0.3">
      <c r="A72" s="2" t="s">
        <v>217</v>
      </c>
      <c r="B72" s="2" t="s">
        <v>218</v>
      </c>
      <c r="C72" s="2" t="s">
        <v>115</v>
      </c>
      <c r="D72" s="2" t="s">
        <v>59</v>
      </c>
      <c r="E72" s="2" t="s">
        <v>155</v>
      </c>
      <c r="F72" s="2" t="s">
        <v>84</v>
      </c>
      <c r="G72" s="2" t="s">
        <v>73</v>
      </c>
      <c r="H72" s="2">
        <v>243.73</v>
      </c>
      <c r="I72" s="2">
        <v>142.76</v>
      </c>
      <c r="J72" s="2">
        <v>100.97</v>
      </c>
      <c r="K72" s="2" t="s">
        <v>56</v>
      </c>
      <c r="L72" s="2">
        <v>5</v>
      </c>
      <c r="M72" s="2">
        <v>2</v>
      </c>
      <c r="N72" s="2" t="s">
        <v>22</v>
      </c>
    </row>
    <row r="73" spans="1:14" x14ac:dyDescent="0.3">
      <c r="A73" s="2" t="s">
        <v>219</v>
      </c>
      <c r="B73" s="2" t="s">
        <v>173</v>
      </c>
      <c r="C73" s="2" t="s">
        <v>54</v>
      </c>
      <c r="D73" s="2" t="s">
        <v>33</v>
      </c>
      <c r="E73" s="2" t="s">
        <v>205</v>
      </c>
      <c r="F73" s="2" t="s">
        <v>84</v>
      </c>
      <c r="G73" s="2" t="s">
        <v>73</v>
      </c>
      <c r="H73" s="2">
        <v>2261.42</v>
      </c>
      <c r="I73" s="2">
        <v>1619.31</v>
      </c>
      <c r="J73" s="2">
        <v>642.11</v>
      </c>
      <c r="K73" s="2" t="s">
        <v>21</v>
      </c>
      <c r="L73" s="2"/>
      <c r="M73" s="2">
        <v>4</v>
      </c>
      <c r="N73" s="2" t="s">
        <v>22</v>
      </c>
    </row>
    <row r="74" spans="1:14" x14ac:dyDescent="0.3">
      <c r="A74" s="2" t="s">
        <v>220</v>
      </c>
      <c r="B74" s="2" t="s">
        <v>221</v>
      </c>
      <c r="C74" s="2" t="s">
        <v>25</v>
      </c>
      <c r="D74" s="2" t="s">
        <v>33</v>
      </c>
      <c r="E74" s="2" t="s">
        <v>205</v>
      </c>
      <c r="F74" s="2" t="s">
        <v>27</v>
      </c>
      <c r="G74" s="2" t="s">
        <v>44</v>
      </c>
      <c r="H74" s="2">
        <v>3402.48</v>
      </c>
      <c r="I74" s="2">
        <v>1916.42</v>
      </c>
      <c r="J74" s="2">
        <v>1486.06</v>
      </c>
      <c r="K74" s="2" t="s">
        <v>21</v>
      </c>
      <c r="L74" s="2"/>
      <c r="M74" s="2">
        <v>3</v>
      </c>
      <c r="N74" s="2" t="s">
        <v>29</v>
      </c>
    </row>
    <row r="75" spans="1:14" x14ac:dyDescent="0.3">
      <c r="A75" s="2" t="s">
        <v>222</v>
      </c>
      <c r="B75" s="2" t="s">
        <v>223</v>
      </c>
      <c r="C75" s="2" t="s">
        <v>68</v>
      </c>
      <c r="D75" s="2" t="s">
        <v>33</v>
      </c>
      <c r="E75" s="2" t="s">
        <v>205</v>
      </c>
      <c r="F75" s="2" t="s">
        <v>35</v>
      </c>
      <c r="G75" s="2" t="s">
        <v>44</v>
      </c>
      <c r="H75" s="2">
        <v>1618.54</v>
      </c>
      <c r="I75" s="2">
        <v>1166.8</v>
      </c>
      <c r="J75" s="2">
        <v>451.74</v>
      </c>
      <c r="K75" s="2" t="s">
        <v>21</v>
      </c>
      <c r="L75" s="2"/>
      <c r="M75" s="2">
        <v>4</v>
      </c>
      <c r="N75" s="2" t="s">
        <v>22</v>
      </c>
    </row>
    <row r="76" spans="1:14" x14ac:dyDescent="0.3">
      <c r="A76" s="2" t="s">
        <v>224</v>
      </c>
      <c r="B76" s="2" t="s">
        <v>225</v>
      </c>
      <c r="C76" s="2" t="s">
        <v>32</v>
      </c>
      <c r="D76" s="2" t="s">
        <v>17</v>
      </c>
      <c r="E76" s="2" t="s">
        <v>226</v>
      </c>
      <c r="F76" s="2" t="s">
        <v>19</v>
      </c>
      <c r="G76" s="2" t="s">
        <v>20</v>
      </c>
      <c r="H76" s="2">
        <v>3490.83</v>
      </c>
      <c r="I76" s="2">
        <v>2627.3</v>
      </c>
      <c r="J76" s="2">
        <v>863.53</v>
      </c>
      <c r="K76" s="2" t="s">
        <v>21</v>
      </c>
      <c r="L76" s="2"/>
      <c r="M76" s="2">
        <v>4</v>
      </c>
      <c r="N76" s="2" t="s">
        <v>22</v>
      </c>
    </row>
    <row r="77" spans="1:14" x14ac:dyDescent="0.3">
      <c r="A77" s="2" t="s">
        <v>227</v>
      </c>
      <c r="B77" s="2" t="s">
        <v>228</v>
      </c>
      <c r="C77" s="2" t="s">
        <v>25</v>
      </c>
      <c r="D77" s="2" t="s">
        <v>42</v>
      </c>
      <c r="E77" s="2" t="s">
        <v>47</v>
      </c>
      <c r="F77" s="2" t="s">
        <v>27</v>
      </c>
      <c r="G77" s="2" t="s">
        <v>28</v>
      </c>
      <c r="H77" s="2">
        <v>2171.0300000000002</v>
      </c>
      <c r="I77" s="2">
        <v>1700.2</v>
      </c>
      <c r="J77" s="2">
        <v>470.83</v>
      </c>
      <c r="K77" s="2" t="s">
        <v>229</v>
      </c>
      <c r="L77" s="2">
        <v>6</v>
      </c>
      <c r="M77" s="2">
        <v>4</v>
      </c>
      <c r="N77" s="2" t="s">
        <v>29</v>
      </c>
    </row>
    <row r="78" spans="1:14" x14ac:dyDescent="0.3">
      <c r="A78" s="2" t="s">
        <v>230</v>
      </c>
      <c r="B78" s="2" t="s">
        <v>231</v>
      </c>
      <c r="C78" s="2" t="s">
        <v>76</v>
      </c>
      <c r="D78" s="2" t="s">
        <v>59</v>
      </c>
      <c r="E78" s="2" t="s">
        <v>116</v>
      </c>
      <c r="F78" s="2" t="s">
        <v>87</v>
      </c>
      <c r="G78" s="2" t="s">
        <v>73</v>
      </c>
      <c r="H78" s="2">
        <v>3010.3</v>
      </c>
      <c r="I78" s="2">
        <v>2242.5500000000002</v>
      </c>
      <c r="J78" s="2">
        <v>767.75</v>
      </c>
      <c r="K78" s="2" t="s">
        <v>21</v>
      </c>
      <c r="L78" s="2"/>
      <c r="M78" s="2">
        <v>5</v>
      </c>
      <c r="N78" s="2" t="s">
        <v>22</v>
      </c>
    </row>
    <row r="79" spans="1:14" x14ac:dyDescent="0.3">
      <c r="A79" s="2" t="s">
        <v>232</v>
      </c>
      <c r="B79" s="2" t="s">
        <v>75</v>
      </c>
      <c r="C79" s="2" t="s">
        <v>76</v>
      </c>
      <c r="D79" s="2" t="s">
        <v>42</v>
      </c>
      <c r="E79" s="2" t="s">
        <v>162</v>
      </c>
      <c r="F79" s="2" t="s">
        <v>84</v>
      </c>
      <c r="G79" s="2" t="s">
        <v>28</v>
      </c>
      <c r="H79" s="2">
        <v>1177.76</v>
      </c>
      <c r="I79" s="2">
        <v>929.96</v>
      </c>
      <c r="J79" s="2">
        <v>247.8</v>
      </c>
      <c r="K79" s="2" t="s">
        <v>56</v>
      </c>
      <c r="L79" s="2">
        <v>5</v>
      </c>
      <c r="M79" s="2">
        <v>3</v>
      </c>
      <c r="N79" s="2" t="s">
        <v>29</v>
      </c>
    </row>
    <row r="80" spans="1:14" x14ac:dyDescent="0.3">
      <c r="A80" s="2" t="s">
        <v>233</v>
      </c>
      <c r="B80" s="2" t="s">
        <v>118</v>
      </c>
      <c r="C80" s="2" t="s">
        <v>111</v>
      </c>
      <c r="D80" s="2" t="s">
        <v>17</v>
      </c>
      <c r="E80" s="2" t="s">
        <v>96</v>
      </c>
      <c r="F80" s="2" t="s">
        <v>40</v>
      </c>
      <c r="G80" s="2" t="s">
        <v>20</v>
      </c>
      <c r="H80" s="2">
        <v>2357.56</v>
      </c>
      <c r="I80" s="2">
        <v>1636.17</v>
      </c>
      <c r="J80" s="2">
        <v>721.39</v>
      </c>
      <c r="K80" s="2" t="s">
        <v>56</v>
      </c>
      <c r="L80" s="2">
        <v>6</v>
      </c>
      <c r="M80" s="2">
        <v>3</v>
      </c>
      <c r="N80" s="2" t="s">
        <v>22</v>
      </c>
    </row>
    <row r="81" spans="1:14" x14ac:dyDescent="0.3">
      <c r="A81" s="2" t="s">
        <v>234</v>
      </c>
      <c r="B81" s="2" t="s">
        <v>235</v>
      </c>
      <c r="C81" s="2" t="s">
        <v>64</v>
      </c>
      <c r="D81" s="2" t="s">
        <v>42</v>
      </c>
      <c r="E81" s="2" t="s">
        <v>47</v>
      </c>
      <c r="F81" s="2" t="s">
        <v>40</v>
      </c>
      <c r="G81" s="2" t="s">
        <v>36</v>
      </c>
      <c r="H81" s="2">
        <v>2162.41</v>
      </c>
      <c r="I81" s="2">
        <v>1976.19</v>
      </c>
      <c r="J81" s="2">
        <v>186.22</v>
      </c>
      <c r="K81" s="2" t="s">
        <v>21</v>
      </c>
      <c r="L81" s="2"/>
      <c r="M81" s="2">
        <v>4</v>
      </c>
      <c r="N81" s="2" t="s">
        <v>29</v>
      </c>
    </row>
    <row r="82" spans="1:14" x14ac:dyDescent="0.3">
      <c r="A82" s="2" t="s">
        <v>236</v>
      </c>
      <c r="B82" s="2" t="s">
        <v>237</v>
      </c>
      <c r="C82" s="2" t="s">
        <v>124</v>
      </c>
      <c r="D82" s="2" t="s">
        <v>17</v>
      </c>
      <c r="E82" s="2" t="s">
        <v>51</v>
      </c>
      <c r="F82" s="2" t="s">
        <v>27</v>
      </c>
      <c r="G82" s="2" t="s">
        <v>28</v>
      </c>
      <c r="H82" s="2">
        <v>906.48</v>
      </c>
      <c r="I82" s="2">
        <v>644.49</v>
      </c>
      <c r="J82" s="2">
        <v>261.99</v>
      </c>
      <c r="K82" s="2" t="s">
        <v>21</v>
      </c>
      <c r="L82" s="2"/>
      <c r="M82" s="2">
        <v>3</v>
      </c>
      <c r="N82" s="2" t="s">
        <v>29</v>
      </c>
    </row>
    <row r="83" spans="1:14" x14ac:dyDescent="0.3">
      <c r="A83" s="2" t="s">
        <v>238</v>
      </c>
      <c r="B83" s="2" t="s">
        <v>239</v>
      </c>
      <c r="C83" s="2" t="s">
        <v>104</v>
      </c>
      <c r="D83" s="2" t="s">
        <v>42</v>
      </c>
      <c r="E83" s="2" t="s">
        <v>77</v>
      </c>
      <c r="F83" s="2" t="s">
        <v>40</v>
      </c>
      <c r="G83" s="2" t="s">
        <v>36</v>
      </c>
      <c r="H83" s="2">
        <v>666.36</v>
      </c>
      <c r="I83" s="2">
        <v>547.87</v>
      </c>
      <c r="J83" s="2">
        <v>118.49</v>
      </c>
      <c r="K83" s="2" t="s">
        <v>56</v>
      </c>
      <c r="L83" s="2">
        <v>7</v>
      </c>
      <c r="M83" s="2">
        <v>3</v>
      </c>
      <c r="N83" s="2" t="s">
        <v>29</v>
      </c>
    </row>
    <row r="84" spans="1:14" x14ac:dyDescent="0.3">
      <c r="A84" s="2" t="s">
        <v>240</v>
      </c>
      <c r="B84" s="2" t="s">
        <v>241</v>
      </c>
      <c r="C84" s="2" t="s">
        <v>76</v>
      </c>
      <c r="D84" s="2" t="s">
        <v>33</v>
      </c>
      <c r="E84" s="2" t="s">
        <v>105</v>
      </c>
      <c r="F84" s="2" t="s">
        <v>35</v>
      </c>
      <c r="G84" s="2" t="s">
        <v>36</v>
      </c>
      <c r="H84" s="2">
        <v>2049.12</v>
      </c>
      <c r="I84" s="2">
        <v>1636.43</v>
      </c>
      <c r="J84" s="2">
        <v>412.69</v>
      </c>
      <c r="K84" s="2" t="s">
        <v>21</v>
      </c>
      <c r="L84" s="2"/>
      <c r="M84" s="2">
        <v>5</v>
      </c>
      <c r="N84" s="2" t="s">
        <v>22</v>
      </c>
    </row>
    <row r="85" spans="1:14" x14ac:dyDescent="0.3">
      <c r="A85" s="2" t="s">
        <v>242</v>
      </c>
      <c r="B85" s="2" t="s">
        <v>243</v>
      </c>
      <c r="C85" s="2" t="s">
        <v>68</v>
      </c>
      <c r="D85" s="2" t="s">
        <v>244</v>
      </c>
      <c r="E85" s="2" t="s">
        <v>108</v>
      </c>
      <c r="F85" s="2" t="s">
        <v>40</v>
      </c>
      <c r="G85" s="2" t="s">
        <v>20</v>
      </c>
      <c r="H85" s="2">
        <v>2384.0700000000002</v>
      </c>
      <c r="I85" s="2">
        <v>1787.8</v>
      </c>
      <c r="J85" s="2">
        <v>596.27</v>
      </c>
      <c r="K85" s="2" t="s">
        <v>21</v>
      </c>
      <c r="L85" s="2"/>
      <c r="M85" s="2">
        <v>4</v>
      </c>
      <c r="N85" s="2" t="s">
        <v>29</v>
      </c>
    </row>
    <row r="86" spans="1:14" x14ac:dyDescent="0.3">
      <c r="A86" s="2" t="s">
        <v>245</v>
      </c>
      <c r="B86" s="2" t="s">
        <v>246</v>
      </c>
      <c r="C86" s="2" t="s">
        <v>68</v>
      </c>
      <c r="D86" s="2" t="s">
        <v>33</v>
      </c>
      <c r="E86" s="2" t="s">
        <v>171</v>
      </c>
      <c r="F86" s="2" t="s">
        <v>40</v>
      </c>
      <c r="G86" s="2" t="s">
        <v>73</v>
      </c>
      <c r="H86" s="2">
        <v>2726.19</v>
      </c>
      <c r="I86" s="2">
        <v>1676.68</v>
      </c>
      <c r="J86" s="2">
        <v>1049.51</v>
      </c>
      <c r="K86" s="2" t="s">
        <v>21</v>
      </c>
      <c r="L86" s="2"/>
      <c r="M86" s="2">
        <v>4</v>
      </c>
      <c r="N86" s="2" t="s">
        <v>22</v>
      </c>
    </row>
    <row r="87" spans="1:14" x14ac:dyDescent="0.3">
      <c r="A87" s="2" t="s">
        <v>247</v>
      </c>
      <c r="B87" s="2" t="s">
        <v>248</v>
      </c>
      <c r="C87" s="2" t="s">
        <v>124</v>
      </c>
      <c r="D87" s="2" t="s">
        <v>7</v>
      </c>
      <c r="E87" s="2" t="s">
        <v>128</v>
      </c>
      <c r="F87" s="2" t="s">
        <v>19</v>
      </c>
      <c r="G87" s="2" t="s">
        <v>36</v>
      </c>
      <c r="H87" s="2">
        <v>2411.96</v>
      </c>
      <c r="I87" s="2">
        <v>1468.4</v>
      </c>
      <c r="J87" s="2">
        <v>943.56</v>
      </c>
      <c r="K87" s="2" t="s">
        <v>21</v>
      </c>
      <c r="L87" s="2"/>
      <c r="M87" s="2">
        <v>4</v>
      </c>
      <c r="N87" s="2" t="s">
        <v>29</v>
      </c>
    </row>
    <row r="88" spans="1:14" x14ac:dyDescent="0.3">
      <c r="A88" s="2" t="s">
        <v>249</v>
      </c>
      <c r="B88" s="2" t="s">
        <v>228</v>
      </c>
      <c r="C88" s="2" t="s">
        <v>25</v>
      </c>
      <c r="D88" s="2" t="s">
        <v>33</v>
      </c>
      <c r="E88" s="2" t="s">
        <v>171</v>
      </c>
      <c r="F88" s="2" t="s">
        <v>84</v>
      </c>
      <c r="G88" s="2" t="s">
        <v>36</v>
      </c>
      <c r="H88" s="2">
        <v>1019.06</v>
      </c>
      <c r="I88" s="2">
        <v>744.2</v>
      </c>
      <c r="J88" s="2">
        <v>274.86</v>
      </c>
      <c r="K88" s="2" t="s">
        <v>21</v>
      </c>
      <c r="L88" s="2"/>
      <c r="M88" s="2">
        <v>5</v>
      </c>
      <c r="N88" s="2" t="s">
        <v>22</v>
      </c>
    </row>
    <row r="89" spans="1:14" x14ac:dyDescent="0.3">
      <c r="A89" s="2" t="s">
        <v>250</v>
      </c>
      <c r="B89" s="2" t="s">
        <v>251</v>
      </c>
      <c r="C89" s="2" t="s">
        <v>25</v>
      </c>
      <c r="D89" s="2" t="s">
        <v>7</v>
      </c>
      <c r="E89" s="2" t="s">
        <v>134</v>
      </c>
      <c r="F89" s="2" t="s">
        <v>87</v>
      </c>
      <c r="G89" s="2" t="s">
        <v>73</v>
      </c>
      <c r="H89" s="2">
        <v>725.31</v>
      </c>
      <c r="I89" s="2">
        <v>485.44</v>
      </c>
      <c r="J89" s="2">
        <v>239.87</v>
      </c>
      <c r="K89" s="2" t="s">
        <v>21</v>
      </c>
      <c r="L89" s="2"/>
      <c r="M89" s="2">
        <v>5</v>
      </c>
      <c r="N89" s="2" t="s">
        <v>22</v>
      </c>
    </row>
    <row r="90" spans="1:14" x14ac:dyDescent="0.3">
      <c r="A90" s="2" t="s">
        <v>252</v>
      </c>
      <c r="B90" s="2" t="s">
        <v>253</v>
      </c>
      <c r="C90" s="2" t="s">
        <v>179</v>
      </c>
      <c r="D90" s="2" t="s">
        <v>7</v>
      </c>
      <c r="E90" s="2" t="s">
        <v>185</v>
      </c>
      <c r="F90" s="2" t="s">
        <v>87</v>
      </c>
      <c r="G90" s="2" t="s">
        <v>20</v>
      </c>
      <c r="H90" s="2">
        <v>984.02</v>
      </c>
      <c r="I90" s="2">
        <v>730.94</v>
      </c>
      <c r="J90" s="2">
        <v>253.08</v>
      </c>
      <c r="K90" s="2" t="s">
        <v>21</v>
      </c>
      <c r="L90" s="2"/>
      <c r="M90" s="2">
        <v>3</v>
      </c>
      <c r="N90" s="2" t="s">
        <v>22</v>
      </c>
    </row>
    <row r="91" spans="1:14" x14ac:dyDescent="0.3">
      <c r="A91" s="2" t="s">
        <v>254</v>
      </c>
      <c r="B91" s="2" t="s">
        <v>255</v>
      </c>
      <c r="C91" s="2" t="s">
        <v>104</v>
      </c>
      <c r="D91" s="2" t="s">
        <v>7</v>
      </c>
      <c r="E91" s="2" t="s">
        <v>182</v>
      </c>
      <c r="F91" s="2" t="s">
        <v>35</v>
      </c>
      <c r="G91" s="2" t="s">
        <v>44</v>
      </c>
      <c r="H91" s="2">
        <v>1023.69</v>
      </c>
      <c r="I91" s="2">
        <v>584.79</v>
      </c>
      <c r="J91" s="2">
        <v>438.9</v>
      </c>
      <c r="K91" s="2" t="s">
        <v>21</v>
      </c>
      <c r="L91" s="2"/>
      <c r="M91" s="2">
        <v>4</v>
      </c>
      <c r="N91" s="2" t="s">
        <v>22</v>
      </c>
    </row>
    <row r="92" spans="1:14" x14ac:dyDescent="0.3">
      <c r="A92" s="2" t="s">
        <v>256</v>
      </c>
      <c r="B92" s="2" t="s">
        <v>257</v>
      </c>
      <c r="C92" s="2" t="s">
        <v>25</v>
      </c>
      <c r="D92" s="2" t="s">
        <v>42</v>
      </c>
      <c r="E92" s="2" t="s">
        <v>80</v>
      </c>
      <c r="F92" s="2" t="s">
        <v>87</v>
      </c>
      <c r="G92" s="2" t="s">
        <v>36</v>
      </c>
      <c r="H92" s="2">
        <v>2948.52</v>
      </c>
      <c r="I92" s="2">
        <v>2218.2399999999998</v>
      </c>
      <c r="J92" s="2">
        <v>730.28</v>
      </c>
      <c r="K92" s="2" t="s">
        <v>56</v>
      </c>
      <c r="L92" s="2">
        <v>12</v>
      </c>
      <c r="M92" s="2">
        <v>1</v>
      </c>
      <c r="N92" s="2" t="s">
        <v>22</v>
      </c>
    </row>
    <row r="93" spans="1:14" x14ac:dyDescent="0.3">
      <c r="A93" s="2" t="s">
        <v>258</v>
      </c>
      <c r="B93" s="2" t="s">
        <v>259</v>
      </c>
      <c r="C93" s="2" t="s">
        <v>68</v>
      </c>
      <c r="D93" s="2" t="s">
        <v>33</v>
      </c>
      <c r="E93" s="2" t="s">
        <v>93</v>
      </c>
      <c r="F93" s="2" t="s">
        <v>40</v>
      </c>
      <c r="G93" s="2" t="s">
        <v>20</v>
      </c>
      <c r="H93" s="2">
        <v>1821.07</v>
      </c>
      <c r="I93" s="2">
        <v>1194.3599999999999</v>
      </c>
      <c r="J93" s="2">
        <v>626.71</v>
      </c>
      <c r="K93" s="2" t="s">
        <v>21</v>
      </c>
      <c r="L93" s="2"/>
      <c r="M93" s="2">
        <v>5</v>
      </c>
      <c r="N93" s="2" t="s">
        <v>22</v>
      </c>
    </row>
    <row r="94" spans="1:14" x14ac:dyDescent="0.3">
      <c r="A94" s="2" t="s">
        <v>260</v>
      </c>
      <c r="B94" s="2" t="s">
        <v>261</v>
      </c>
      <c r="C94" s="2" t="s">
        <v>32</v>
      </c>
      <c r="D94" s="2" t="s">
        <v>42</v>
      </c>
      <c r="E94" s="2" t="s">
        <v>262</v>
      </c>
      <c r="F94" s="2" t="s">
        <v>19</v>
      </c>
      <c r="G94" s="2" t="s">
        <v>73</v>
      </c>
      <c r="H94" s="2">
        <v>973.09</v>
      </c>
      <c r="I94" s="2">
        <v>839.25</v>
      </c>
      <c r="J94" s="2">
        <v>133.84</v>
      </c>
      <c r="K94" s="2" t="s">
        <v>56</v>
      </c>
      <c r="L94" s="2">
        <v>3</v>
      </c>
      <c r="M94" s="2">
        <v>4</v>
      </c>
      <c r="N94" s="2" t="s">
        <v>29</v>
      </c>
    </row>
    <row r="95" spans="1:14" x14ac:dyDescent="0.3">
      <c r="A95" s="2" t="s">
        <v>263</v>
      </c>
      <c r="B95" s="2" t="s">
        <v>264</v>
      </c>
      <c r="C95" s="2" t="s">
        <v>68</v>
      </c>
      <c r="D95" s="2" t="s">
        <v>17</v>
      </c>
      <c r="E95" s="2" t="s">
        <v>51</v>
      </c>
      <c r="F95" s="2" t="s">
        <v>40</v>
      </c>
      <c r="G95" s="2" t="s">
        <v>20</v>
      </c>
      <c r="H95" s="2">
        <v>3281.77</v>
      </c>
      <c r="I95" s="2">
        <v>2255.02</v>
      </c>
      <c r="J95" s="2">
        <v>1026.75</v>
      </c>
      <c r="K95" s="2" t="s">
        <v>21</v>
      </c>
      <c r="L95" s="2"/>
      <c r="M95" s="2">
        <v>3</v>
      </c>
      <c r="N95" s="2" t="s">
        <v>22</v>
      </c>
    </row>
    <row r="96" spans="1:14" x14ac:dyDescent="0.3">
      <c r="A96" s="2" t="s">
        <v>265</v>
      </c>
      <c r="B96" s="2" t="s">
        <v>266</v>
      </c>
      <c r="C96" s="2" t="s">
        <v>25</v>
      </c>
      <c r="D96" s="2" t="s">
        <v>17</v>
      </c>
      <c r="E96" s="2" t="s">
        <v>72</v>
      </c>
      <c r="F96" s="2" t="s">
        <v>35</v>
      </c>
      <c r="G96" s="2" t="s">
        <v>36</v>
      </c>
      <c r="H96" s="2">
        <v>2348.67</v>
      </c>
      <c r="I96" s="2">
        <v>1463.08</v>
      </c>
      <c r="J96" s="2">
        <v>885.59</v>
      </c>
      <c r="K96" s="2" t="s">
        <v>56</v>
      </c>
      <c r="L96" s="2">
        <v>5</v>
      </c>
      <c r="M96" s="2">
        <v>2</v>
      </c>
      <c r="N96" s="2" t="s">
        <v>22</v>
      </c>
    </row>
    <row r="97" spans="1:14" x14ac:dyDescent="0.3">
      <c r="A97" s="2" t="s">
        <v>267</v>
      </c>
      <c r="B97" s="2" t="s">
        <v>268</v>
      </c>
      <c r="C97" s="2" t="s">
        <v>68</v>
      </c>
      <c r="D97" s="2" t="s">
        <v>33</v>
      </c>
      <c r="E97" s="2" t="s">
        <v>119</v>
      </c>
      <c r="F97" s="2" t="s">
        <v>40</v>
      </c>
      <c r="G97" s="2" t="s">
        <v>36</v>
      </c>
      <c r="H97" s="2">
        <v>935.46</v>
      </c>
      <c r="I97" s="2">
        <v>527.47</v>
      </c>
      <c r="J97" s="2">
        <v>407.99</v>
      </c>
      <c r="K97" s="2" t="s">
        <v>21</v>
      </c>
      <c r="L97" s="2"/>
      <c r="M97" s="2">
        <v>5</v>
      </c>
      <c r="N97" s="2" t="s">
        <v>22</v>
      </c>
    </row>
    <row r="98" spans="1:14" x14ac:dyDescent="0.3">
      <c r="A98" s="2" t="s">
        <v>269</v>
      </c>
      <c r="B98" s="2" t="s">
        <v>151</v>
      </c>
      <c r="C98" s="2" t="s">
        <v>76</v>
      </c>
      <c r="D98" s="2" t="s">
        <v>33</v>
      </c>
      <c r="E98" s="2" t="s">
        <v>34</v>
      </c>
      <c r="F98" s="2" t="s">
        <v>27</v>
      </c>
      <c r="G98" s="2" t="s">
        <v>36</v>
      </c>
      <c r="H98" s="2">
        <v>1419.35</v>
      </c>
      <c r="I98" s="2">
        <v>1086.77</v>
      </c>
      <c r="J98" s="2">
        <v>332.58</v>
      </c>
      <c r="K98" s="2" t="s">
        <v>21</v>
      </c>
      <c r="L98" s="2"/>
      <c r="M98" s="2">
        <v>4</v>
      </c>
      <c r="N98" s="2" t="s">
        <v>22</v>
      </c>
    </row>
    <row r="99" spans="1:14" x14ac:dyDescent="0.3">
      <c r="A99" s="2" t="s">
        <v>270</v>
      </c>
      <c r="B99" s="2" t="s">
        <v>271</v>
      </c>
      <c r="C99" s="2" t="s">
        <v>179</v>
      </c>
      <c r="D99" s="2" t="s">
        <v>7</v>
      </c>
      <c r="E99" s="2" t="s">
        <v>69</v>
      </c>
      <c r="F99" s="2" t="s">
        <v>27</v>
      </c>
      <c r="G99" s="2" t="s">
        <v>36</v>
      </c>
      <c r="H99" s="2">
        <v>4338.22</v>
      </c>
      <c r="I99" s="2">
        <v>3233.63</v>
      </c>
      <c r="J99" s="2">
        <v>1104.5899999999999</v>
      </c>
      <c r="K99" s="2" t="s">
        <v>21</v>
      </c>
      <c r="L99" s="2"/>
      <c r="M99" s="2">
        <v>5</v>
      </c>
      <c r="N99" s="2" t="s">
        <v>22</v>
      </c>
    </row>
    <row r="100" spans="1:14" x14ac:dyDescent="0.3">
      <c r="A100" s="2" t="s">
        <v>272</v>
      </c>
      <c r="B100" s="2" t="s">
        <v>58</v>
      </c>
      <c r="C100" s="2" t="s">
        <v>54</v>
      </c>
      <c r="D100" s="2" t="s">
        <v>42</v>
      </c>
      <c r="E100" s="2" t="s">
        <v>214</v>
      </c>
      <c r="F100" s="2" t="s">
        <v>27</v>
      </c>
      <c r="G100" s="2" t="s">
        <v>28</v>
      </c>
      <c r="H100" s="2">
        <v>972.87</v>
      </c>
      <c r="I100" s="2">
        <v>784.67</v>
      </c>
      <c r="J100" s="2">
        <v>188.2</v>
      </c>
      <c r="K100" s="2" t="s">
        <v>21</v>
      </c>
      <c r="L100" s="2"/>
      <c r="M100" s="2">
        <v>4</v>
      </c>
      <c r="N100" s="2" t="s">
        <v>29</v>
      </c>
    </row>
    <row r="101" spans="1:14" x14ac:dyDescent="0.3">
      <c r="A101" s="2" t="s">
        <v>273</v>
      </c>
      <c r="B101" s="2" t="s">
        <v>274</v>
      </c>
      <c r="C101" s="2" t="s">
        <v>25</v>
      </c>
      <c r="D101" s="2" t="s">
        <v>7</v>
      </c>
      <c r="E101" s="2" t="s">
        <v>55</v>
      </c>
      <c r="F101" s="2" t="s">
        <v>27</v>
      </c>
      <c r="G101" s="2" t="s">
        <v>44</v>
      </c>
      <c r="H101" s="2">
        <v>1757.89</v>
      </c>
      <c r="I101" s="2">
        <v>1321.96</v>
      </c>
      <c r="J101" s="2">
        <v>435.93</v>
      </c>
      <c r="K101" s="2" t="s">
        <v>21</v>
      </c>
      <c r="L101" s="2"/>
      <c r="M101" s="2">
        <v>4</v>
      </c>
      <c r="N101" s="2" t="s">
        <v>22</v>
      </c>
    </row>
    <row r="102" spans="1:14" x14ac:dyDescent="0.3">
      <c r="A102" s="2" t="s">
        <v>275</v>
      </c>
      <c r="B102" s="2" t="s">
        <v>276</v>
      </c>
      <c r="C102" s="2" t="s">
        <v>32</v>
      </c>
      <c r="D102" s="2" t="s">
        <v>277</v>
      </c>
      <c r="E102" s="2" t="s">
        <v>80</v>
      </c>
      <c r="F102" s="2" t="s">
        <v>40</v>
      </c>
      <c r="G102" s="2" t="s">
        <v>36</v>
      </c>
      <c r="H102" s="2">
        <v>4512.82</v>
      </c>
      <c r="I102" s="2">
        <v>3491.68</v>
      </c>
      <c r="J102" s="2">
        <v>1021.14</v>
      </c>
      <c r="K102" s="2" t="s">
        <v>21</v>
      </c>
      <c r="L102" s="2"/>
      <c r="M102" s="2">
        <v>4</v>
      </c>
      <c r="N102" s="2" t="s">
        <v>22</v>
      </c>
    </row>
    <row r="103" spans="1:14" x14ac:dyDescent="0.3">
      <c r="A103" s="2" t="s">
        <v>278</v>
      </c>
      <c r="B103" s="2" t="s">
        <v>279</v>
      </c>
      <c r="C103" s="2" t="s">
        <v>115</v>
      </c>
      <c r="D103" s="2" t="s">
        <v>7</v>
      </c>
      <c r="E103" s="2" t="s">
        <v>185</v>
      </c>
      <c r="F103" s="2" t="s">
        <v>40</v>
      </c>
      <c r="G103" s="2" t="s">
        <v>73</v>
      </c>
      <c r="H103" s="2">
        <v>3406.23</v>
      </c>
      <c r="I103" s="2">
        <v>2634.5</v>
      </c>
      <c r="J103" s="2">
        <v>771.73</v>
      </c>
      <c r="K103" s="2" t="s">
        <v>21</v>
      </c>
      <c r="L103" s="2"/>
      <c r="M103" s="2">
        <v>4</v>
      </c>
      <c r="N103" s="2" t="s">
        <v>29</v>
      </c>
    </row>
    <row r="104" spans="1:14" x14ac:dyDescent="0.3">
      <c r="A104" s="2" t="s">
        <v>280</v>
      </c>
      <c r="B104" s="2" t="s">
        <v>281</v>
      </c>
      <c r="C104" s="2" t="s">
        <v>54</v>
      </c>
      <c r="D104" s="2" t="s">
        <v>42</v>
      </c>
      <c r="E104" s="2" t="s">
        <v>43</v>
      </c>
      <c r="F104" s="2" t="s">
        <v>35</v>
      </c>
      <c r="G104" s="2" t="s">
        <v>36</v>
      </c>
      <c r="H104" s="2">
        <v>3201.55</v>
      </c>
      <c r="I104" s="2">
        <v>2515.85</v>
      </c>
      <c r="J104" s="2">
        <v>685.7</v>
      </c>
      <c r="K104" s="2" t="s">
        <v>21</v>
      </c>
      <c r="L104" s="2"/>
      <c r="M104" s="2">
        <v>3</v>
      </c>
      <c r="N104" s="2" t="s">
        <v>22</v>
      </c>
    </row>
    <row r="105" spans="1:14" x14ac:dyDescent="0.3">
      <c r="A105" s="2" t="s">
        <v>282</v>
      </c>
      <c r="B105" s="2" t="s">
        <v>283</v>
      </c>
      <c r="C105" s="2" t="s">
        <v>16</v>
      </c>
      <c r="D105" s="2" t="s">
        <v>17</v>
      </c>
      <c r="E105" s="2" t="s">
        <v>100</v>
      </c>
      <c r="F105" s="2" t="s">
        <v>35</v>
      </c>
      <c r="G105" s="2" t="s">
        <v>73</v>
      </c>
      <c r="H105" s="2">
        <v>3491.04</v>
      </c>
      <c r="I105" s="2">
        <v>2040.8</v>
      </c>
      <c r="J105" s="2">
        <v>1450.24</v>
      </c>
      <c r="K105" s="2" t="s">
        <v>229</v>
      </c>
      <c r="L105" s="2">
        <v>5</v>
      </c>
      <c r="M105" s="2">
        <v>4</v>
      </c>
      <c r="N105" s="2" t="s">
        <v>22</v>
      </c>
    </row>
    <row r="106" spans="1:14" x14ac:dyDescent="0.3">
      <c r="A106" s="2" t="s">
        <v>284</v>
      </c>
      <c r="B106" s="2" t="s">
        <v>285</v>
      </c>
      <c r="C106" s="2" t="s">
        <v>76</v>
      </c>
      <c r="D106" s="2" t="s">
        <v>7</v>
      </c>
      <c r="E106" s="2" t="s">
        <v>65</v>
      </c>
      <c r="F106" s="2" t="s">
        <v>87</v>
      </c>
      <c r="G106" s="2" t="s">
        <v>28</v>
      </c>
      <c r="H106" s="2">
        <v>631.70000000000005</v>
      </c>
      <c r="I106" s="2">
        <v>477.32</v>
      </c>
      <c r="J106" s="2">
        <v>154.38</v>
      </c>
      <c r="K106" s="2" t="s">
        <v>21</v>
      </c>
      <c r="L106" s="2"/>
      <c r="M106" s="2">
        <v>4</v>
      </c>
      <c r="N106" s="2" t="s">
        <v>22</v>
      </c>
    </row>
    <row r="107" spans="1:14" x14ac:dyDescent="0.3">
      <c r="A107" s="2" t="s">
        <v>286</v>
      </c>
      <c r="B107" s="2" t="s">
        <v>287</v>
      </c>
      <c r="C107" s="2" t="s">
        <v>179</v>
      </c>
      <c r="D107" s="2" t="s">
        <v>42</v>
      </c>
      <c r="E107" s="2" t="s">
        <v>43</v>
      </c>
      <c r="F107" s="2" t="s">
        <v>27</v>
      </c>
      <c r="G107" s="2" t="s">
        <v>36</v>
      </c>
      <c r="H107" s="2">
        <v>2715.61</v>
      </c>
      <c r="I107" s="2">
        <v>1929.46</v>
      </c>
      <c r="J107" s="2">
        <v>786.15</v>
      </c>
      <c r="K107" s="2" t="s">
        <v>21</v>
      </c>
      <c r="L107" s="2"/>
      <c r="M107" s="2">
        <v>2</v>
      </c>
      <c r="N107" s="2" t="s">
        <v>29</v>
      </c>
    </row>
    <row r="108" spans="1:14" x14ac:dyDescent="0.3">
      <c r="A108" s="2" t="s">
        <v>288</v>
      </c>
      <c r="B108" s="2" t="s">
        <v>289</v>
      </c>
      <c r="C108" s="2" t="s">
        <v>32</v>
      </c>
      <c r="D108" s="2" t="s">
        <v>33</v>
      </c>
      <c r="E108" s="2" t="s">
        <v>105</v>
      </c>
      <c r="F108" s="2" t="s">
        <v>84</v>
      </c>
      <c r="G108" s="2" t="s">
        <v>73</v>
      </c>
      <c r="H108" s="2">
        <v>1057.57</v>
      </c>
      <c r="I108" s="2">
        <v>648.13</v>
      </c>
      <c r="J108" s="2">
        <v>409.44</v>
      </c>
      <c r="K108" s="2" t="s">
        <v>21</v>
      </c>
      <c r="L108" s="2"/>
      <c r="M108" s="2">
        <v>5</v>
      </c>
      <c r="N108" s="2" t="s">
        <v>22</v>
      </c>
    </row>
    <row r="109" spans="1:14" x14ac:dyDescent="0.3">
      <c r="A109" s="2" t="s">
        <v>290</v>
      </c>
      <c r="B109" s="2" t="s">
        <v>291</v>
      </c>
      <c r="C109" s="2" t="s">
        <v>124</v>
      </c>
      <c r="D109" s="2" t="s">
        <v>33</v>
      </c>
      <c r="E109" s="2" t="s">
        <v>39</v>
      </c>
      <c r="F109" s="2" t="s">
        <v>35</v>
      </c>
      <c r="G109" s="2" t="s">
        <v>36</v>
      </c>
      <c r="H109" s="2">
        <v>3211.5</v>
      </c>
      <c r="I109" s="2">
        <v>2247.25</v>
      </c>
      <c r="J109" s="2">
        <v>964.25</v>
      </c>
      <c r="K109" s="2" t="s">
        <v>56</v>
      </c>
      <c r="L109" s="2">
        <v>8</v>
      </c>
      <c r="M109" s="2">
        <v>2</v>
      </c>
      <c r="N109" s="2" t="s">
        <v>29</v>
      </c>
    </row>
    <row r="110" spans="1:14" x14ac:dyDescent="0.3">
      <c r="A110" s="2" t="s">
        <v>292</v>
      </c>
      <c r="B110" s="2" t="s">
        <v>293</v>
      </c>
      <c r="C110" s="2" t="s">
        <v>76</v>
      </c>
      <c r="D110" s="2" t="s">
        <v>59</v>
      </c>
      <c r="E110" s="2"/>
      <c r="F110" s="2" t="s">
        <v>19</v>
      </c>
      <c r="G110" s="2" t="s">
        <v>28</v>
      </c>
      <c r="H110" s="2">
        <v>3494.66</v>
      </c>
      <c r="I110" s="2">
        <v>2579.39</v>
      </c>
      <c r="J110" s="2">
        <v>915.27</v>
      </c>
      <c r="K110" s="2" t="s">
        <v>56</v>
      </c>
      <c r="L110" s="2">
        <v>6</v>
      </c>
      <c r="M110" s="2">
        <v>4</v>
      </c>
      <c r="N110" s="2" t="s">
        <v>22</v>
      </c>
    </row>
    <row r="111" spans="1:14" x14ac:dyDescent="0.3">
      <c r="A111" s="2" t="s">
        <v>294</v>
      </c>
      <c r="B111" s="2" t="s">
        <v>146</v>
      </c>
      <c r="C111" s="2" t="s">
        <v>104</v>
      </c>
      <c r="D111" s="2" t="s">
        <v>17</v>
      </c>
      <c r="E111" s="2" t="s">
        <v>100</v>
      </c>
      <c r="F111" s="2" t="s">
        <v>19</v>
      </c>
      <c r="G111" s="2" t="s">
        <v>44</v>
      </c>
      <c r="H111" s="2">
        <v>3243.42</v>
      </c>
      <c r="I111" s="2">
        <v>2268.83</v>
      </c>
      <c r="J111" s="2">
        <v>974.59</v>
      </c>
      <c r="K111" s="2" t="s">
        <v>21</v>
      </c>
      <c r="L111" s="2"/>
      <c r="M111" s="2">
        <v>4</v>
      </c>
      <c r="N111" s="2" t="s">
        <v>22</v>
      </c>
    </row>
    <row r="112" spans="1:14" x14ac:dyDescent="0.3">
      <c r="A112" s="2" t="s">
        <v>295</v>
      </c>
      <c r="B112" s="2" t="s">
        <v>296</v>
      </c>
      <c r="C112" s="2" t="s">
        <v>76</v>
      </c>
      <c r="D112" s="2" t="s">
        <v>33</v>
      </c>
      <c r="E112" s="2" t="s">
        <v>297</v>
      </c>
      <c r="F112" s="2" t="s">
        <v>84</v>
      </c>
      <c r="G112" s="2" t="s">
        <v>44</v>
      </c>
      <c r="H112" s="2">
        <v>1250.94</v>
      </c>
      <c r="I112" s="2">
        <v>839.16</v>
      </c>
      <c r="J112" s="2">
        <v>411.78</v>
      </c>
      <c r="K112" s="2" t="s">
        <v>21</v>
      </c>
      <c r="L112" s="2"/>
      <c r="M112" s="2">
        <v>5</v>
      </c>
      <c r="N112" s="2" t="s">
        <v>29</v>
      </c>
    </row>
    <row r="113" spans="1:14" x14ac:dyDescent="0.3">
      <c r="A113" s="2" t="s">
        <v>298</v>
      </c>
      <c r="B113" s="2" t="s">
        <v>285</v>
      </c>
      <c r="C113" s="2" t="s">
        <v>76</v>
      </c>
      <c r="D113" s="2" t="s">
        <v>33</v>
      </c>
      <c r="E113" s="2" t="s">
        <v>105</v>
      </c>
      <c r="F113" s="2" t="s">
        <v>87</v>
      </c>
      <c r="G113" s="2" t="s">
        <v>299</v>
      </c>
      <c r="H113" s="2">
        <v>3135.85</v>
      </c>
      <c r="I113" s="2">
        <v>1878.71</v>
      </c>
      <c r="J113" s="2">
        <v>1257.1400000000001</v>
      </c>
      <c r="K113" s="2" t="s">
        <v>21</v>
      </c>
      <c r="L113" s="2"/>
      <c r="M113" s="2">
        <v>5</v>
      </c>
      <c r="N113" s="2" t="s">
        <v>22</v>
      </c>
    </row>
    <row r="114" spans="1:14" x14ac:dyDescent="0.3">
      <c r="A114" s="2" t="s">
        <v>300</v>
      </c>
      <c r="B114" s="2" t="s">
        <v>82</v>
      </c>
      <c r="C114" s="2" t="s">
        <v>54</v>
      </c>
      <c r="D114" s="2" t="s">
        <v>59</v>
      </c>
      <c r="E114" s="2" t="s">
        <v>301</v>
      </c>
      <c r="F114" s="2" t="s">
        <v>27</v>
      </c>
      <c r="G114" s="2" t="s">
        <v>20</v>
      </c>
      <c r="H114" s="2">
        <v>2113.16</v>
      </c>
      <c r="I114" s="2">
        <v>1340.04</v>
      </c>
      <c r="J114" s="2">
        <v>773.12</v>
      </c>
      <c r="K114" s="2" t="s">
        <v>56</v>
      </c>
      <c r="L114" s="2">
        <v>7</v>
      </c>
      <c r="M114" s="2">
        <v>4</v>
      </c>
      <c r="N114" s="2" t="s">
        <v>22</v>
      </c>
    </row>
    <row r="115" spans="1:14" x14ac:dyDescent="0.3">
      <c r="A115" s="2" t="s">
        <v>302</v>
      </c>
      <c r="B115" s="2" t="s">
        <v>303</v>
      </c>
      <c r="C115" s="2" t="s">
        <v>115</v>
      </c>
      <c r="D115" s="2" t="s">
        <v>7</v>
      </c>
      <c r="E115" s="2"/>
      <c r="F115" s="2"/>
      <c r="G115" s="2" t="s">
        <v>73</v>
      </c>
      <c r="H115" s="2">
        <v>1625.57</v>
      </c>
      <c r="I115" s="2">
        <v>968.99</v>
      </c>
      <c r="J115" s="2">
        <v>656.58</v>
      </c>
      <c r="K115" s="2" t="s">
        <v>56</v>
      </c>
      <c r="L115" s="2">
        <v>3</v>
      </c>
      <c r="M115" s="2">
        <v>2</v>
      </c>
      <c r="N115" s="2" t="s">
        <v>29</v>
      </c>
    </row>
    <row r="116" spans="1:14" x14ac:dyDescent="0.3">
      <c r="A116" s="2" t="s">
        <v>304</v>
      </c>
      <c r="B116" s="2" t="s">
        <v>305</v>
      </c>
      <c r="C116" s="2" t="s">
        <v>111</v>
      </c>
      <c r="D116" s="2" t="s">
        <v>33</v>
      </c>
      <c r="E116" s="2" t="s">
        <v>39</v>
      </c>
      <c r="F116" s="2" t="s">
        <v>35</v>
      </c>
      <c r="G116" s="2" t="s">
        <v>36</v>
      </c>
      <c r="H116" s="2">
        <v>3176.64</v>
      </c>
      <c r="I116" s="2">
        <v>1901</v>
      </c>
      <c r="J116" s="2">
        <v>1275.6400000000001</v>
      </c>
      <c r="K116" s="2" t="s">
        <v>21</v>
      </c>
      <c r="L116" s="2"/>
      <c r="M116" s="2">
        <v>4</v>
      </c>
      <c r="N116" s="2" t="s">
        <v>29</v>
      </c>
    </row>
    <row r="117" spans="1:14" x14ac:dyDescent="0.3">
      <c r="A117" s="2" t="s">
        <v>306</v>
      </c>
      <c r="B117" s="2" t="s">
        <v>307</v>
      </c>
      <c r="C117" s="2" t="s">
        <v>115</v>
      </c>
      <c r="D117" s="2" t="s">
        <v>59</v>
      </c>
      <c r="E117" s="2" t="s">
        <v>308</v>
      </c>
      <c r="F117" s="2" t="s">
        <v>35</v>
      </c>
      <c r="G117" s="2" t="s">
        <v>28</v>
      </c>
      <c r="H117" s="2">
        <v>470.06</v>
      </c>
      <c r="I117" s="2">
        <v>299.52999999999997</v>
      </c>
      <c r="J117" s="2">
        <v>170.53</v>
      </c>
      <c r="K117" s="2" t="s">
        <v>21</v>
      </c>
      <c r="L117" s="2"/>
      <c r="M117" s="2">
        <v>5</v>
      </c>
      <c r="N117" s="2" t="s">
        <v>29</v>
      </c>
    </row>
    <row r="118" spans="1:14" x14ac:dyDescent="0.3">
      <c r="A118" s="2" t="s">
        <v>309</v>
      </c>
      <c r="B118" s="2" t="s">
        <v>310</v>
      </c>
      <c r="C118" s="2" t="s">
        <v>124</v>
      </c>
      <c r="D118" s="2" t="s">
        <v>17</v>
      </c>
      <c r="E118" s="2" t="s">
        <v>18</v>
      </c>
      <c r="F118" s="2" t="s">
        <v>40</v>
      </c>
      <c r="G118" s="2" t="s">
        <v>28</v>
      </c>
      <c r="H118" s="2">
        <v>639.04999999999995</v>
      </c>
      <c r="I118" s="2">
        <v>393.42</v>
      </c>
      <c r="J118" s="2">
        <v>245.63</v>
      </c>
      <c r="K118" s="2" t="s">
        <v>21</v>
      </c>
      <c r="L118" s="2"/>
      <c r="M118" s="2">
        <v>5</v>
      </c>
      <c r="N118" s="2" t="s">
        <v>29</v>
      </c>
    </row>
    <row r="119" spans="1:14" x14ac:dyDescent="0.3">
      <c r="A119" s="2" t="s">
        <v>311</v>
      </c>
      <c r="B119" s="2" t="s">
        <v>99</v>
      </c>
      <c r="C119" s="2" t="s">
        <v>64</v>
      </c>
      <c r="D119" s="2" t="s">
        <v>7</v>
      </c>
      <c r="E119" s="2" t="s">
        <v>131</v>
      </c>
      <c r="F119" s="2" t="s">
        <v>27</v>
      </c>
      <c r="G119" s="2" t="s">
        <v>20</v>
      </c>
      <c r="H119" s="2">
        <v>2209.75</v>
      </c>
      <c r="I119" s="2">
        <v>1455.64</v>
      </c>
      <c r="J119" s="2">
        <v>754.11</v>
      </c>
      <c r="K119" s="2" t="s">
        <v>56</v>
      </c>
      <c r="L119" s="2">
        <v>6</v>
      </c>
      <c r="M119" s="2">
        <v>3</v>
      </c>
      <c r="N119" s="2" t="s">
        <v>22</v>
      </c>
    </row>
    <row r="120" spans="1:14" x14ac:dyDescent="0.3">
      <c r="A120" s="2" t="s">
        <v>312</v>
      </c>
      <c r="B120" s="2" t="s">
        <v>307</v>
      </c>
      <c r="C120" s="2" t="s">
        <v>115</v>
      </c>
      <c r="D120" s="2" t="s">
        <v>17</v>
      </c>
      <c r="E120" s="2" t="s">
        <v>226</v>
      </c>
      <c r="F120" s="2" t="s">
        <v>27</v>
      </c>
      <c r="G120" s="2" t="s">
        <v>36</v>
      </c>
      <c r="H120" s="2">
        <v>3492.7</v>
      </c>
      <c r="I120" s="2">
        <v>2165.25</v>
      </c>
      <c r="J120" s="2">
        <v>1327.45</v>
      </c>
      <c r="K120" s="2" t="s">
        <v>21</v>
      </c>
      <c r="L120" s="2"/>
      <c r="M120" s="2">
        <v>4</v>
      </c>
      <c r="N120" s="2" t="s">
        <v>22</v>
      </c>
    </row>
    <row r="121" spans="1:14" x14ac:dyDescent="0.3">
      <c r="A121" s="2" t="s">
        <v>313</v>
      </c>
      <c r="B121" s="2" t="s">
        <v>314</v>
      </c>
      <c r="C121" s="2" t="s">
        <v>115</v>
      </c>
      <c r="D121" s="2" t="s">
        <v>7</v>
      </c>
      <c r="E121" s="2" t="s">
        <v>69</v>
      </c>
      <c r="F121" s="2" t="s">
        <v>315</v>
      </c>
      <c r="G121" s="2" t="s">
        <v>73</v>
      </c>
      <c r="H121" s="2">
        <v>3088.11</v>
      </c>
      <c r="I121" s="2">
        <v>1985.33</v>
      </c>
      <c r="J121" s="2">
        <v>1102.78</v>
      </c>
      <c r="K121" s="2" t="s">
        <v>21</v>
      </c>
      <c r="L121" s="2"/>
      <c r="M121" s="2">
        <v>3</v>
      </c>
      <c r="N121" s="2" t="s">
        <v>22</v>
      </c>
    </row>
    <row r="122" spans="1:14" x14ac:dyDescent="0.3">
      <c r="A122" s="2" t="s">
        <v>316</v>
      </c>
      <c r="B122" s="2" t="s">
        <v>317</v>
      </c>
      <c r="C122" s="2" t="s">
        <v>318</v>
      </c>
      <c r="D122" s="2" t="s">
        <v>42</v>
      </c>
      <c r="E122" s="2" t="s">
        <v>83</v>
      </c>
      <c r="F122" s="2" t="s">
        <v>27</v>
      </c>
      <c r="G122" s="2" t="s">
        <v>36</v>
      </c>
      <c r="H122" s="2">
        <v>2441.63</v>
      </c>
      <c r="I122" s="2">
        <v>1780.56</v>
      </c>
      <c r="J122" s="2">
        <v>661.07</v>
      </c>
      <c r="K122" s="2" t="s">
        <v>56</v>
      </c>
      <c r="L122" s="2">
        <v>4</v>
      </c>
      <c r="M122" s="2">
        <v>3</v>
      </c>
      <c r="N122" s="2" t="s">
        <v>22</v>
      </c>
    </row>
    <row r="123" spans="1:14" x14ac:dyDescent="0.3">
      <c r="A123" s="2" t="s">
        <v>319</v>
      </c>
      <c r="B123" s="2" t="s">
        <v>320</v>
      </c>
      <c r="C123" s="2" t="s">
        <v>111</v>
      </c>
      <c r="D123" s="2" t="s">
        <v>7</v>
      </c>
      <c r="E123" s="2" t="s">
        <v>134</v>
      </c>
      <c r="F123" s="2" t="s">
        <v>84</v>
      </c>
      <c r="G123" s="2" t="s">
        <v>44</v>
      </c>
      <c r="H123" s="2">
        <v>3142.31</v>
      </c>
      <c r="I123" s="2">
        <v>2281.71</v>
      </c>
      <c r="J123" s="2">
        <v>860.6</v>
      </c>
      <c r="K123" s="2" t="s">
        <v>21</v>
      </c>
      <c r="L123" s="2"/>
      <c r="M123" s="2">
        <v>5</v>
      </c>
      <c r="N123" s="2" t="s">
        <v>29</v>
      </c>
    </row>
    <row r="124" spans="1:14" x14ac:dyDescent="0.3">
      <c r="A124" s="2" t="s">
        <v>321</v>
      </c>
      <c r="B124" s="2" t="s">
        <v>322</v>
      </c>
      <c r="C124" s="2" t="s">
        <v>54</v>
      </c>
      <c r="D124" s="2" t="s">
        <v>33</v>
      </c>
      <c r="E124" s="2" t="s">
        <v>171</v>
      </c>
      <c r="F124" s="2" t="s">
        <v>19</v>
      </c>
      <c r="G124" s="2" t="s">
        <v>28</v>
      </c>
      <c r="H124" s="2">
        <v>1671.94</v>
      </c>
      <c r="I124" s="2">
        <v>980.82</v>
      </c>
      <c r="J124" s="2">
        <v>691.12</v>
      </c>
      <c r="K124" s="2" t="s">
        <v>21</v>
      </c>
      <c r="L124" s="2"/>
      <c r="M124" s="2">
        <v>2</v>
      </c>
      <c r="N124" s="2" t="s">
        <v>22</v>
      </c>
    </row>
    <row r="125" spans="1:14" x14ac:dyDescent="0.3">
      <c r="A125" s="2" t="s">
        <v>323</v>
      </c>
      <c r="B125" s="2" t="s">
        <v>291</v>
      </c>
      <c r="C125" s="2" t="s">
        <v>124</v>
      </c>
      <c r="D125" s="2" t="s">
        <v>59</v>
      </c>
      <c r="E125" s="2" t="s">
        <v>116</v>
      </c>
      <c r="F125" s="2" t="s">
        <v>87</v>
      </c>
      <c r="G125" s="2" t="s">
        <v>20</v>
      </c>
      <c r="H125" s="2">
        <v>356.89</v>
      </c>
      <c r="I125" s="2">
        <v>245.15</v>
      </c>
      <c r="J125" s="2">
        <v>111.74</v>
      </c>
      <c r="K125" s="2" t="s">
        <v>21</v>
      </c>
      <c r="L125" s="2"/>
      <c r="M125" s="2">
        <v>4</v>
      </c>
      <c r="N125" s="2" t="s">
        <v>22</v>
      </c>
    </row>
    <row r="126" spans="1:14" x14ac:dyDescent="0.3">
      <c r="A126" s="2" t="s">
        <v>324</v>
      </c>
      <c r="B126" s="2" t="s">
        <v>325</v>
      </c>
      <c r="C126" s="2" t="s">
        <v>16</v>
      </c>
      <c r="D126" s="2" t="s">
        <v>33</v>
      </c>
      <c r="E126" s="2" t="s">
        <v>39</v>
      </c>
      <c r="F126" s="2" t="s">
        <v>35</v>
      </c>
      <c r="G126" s="2" t="s">
        <v>36</v>
      </c>
      <c r="H126" s="2">
        <v>1675.7</v>
      </c>
      <c r="I126" s="2">
        <v>935.3</v>
      </c>
      <c r="J126" s="2">
        <v>740.4</v>
      </c>
      <c r="K126" s="2" t="s">
        <v>21</v>
      </c>
      <c r="L126" s="2"/>
      <c r="M126" s="2">
        <v>5</v>
      </c>
      <c r="N126" s="2" t="s">
        <v>22</v>
      </c>
    </row>
    <row r="127" spans="1:14" x14ac:dyDescent="0.3">
      <c r="A127" s="2" t="s">
        <v>326</v>
      </c>
      <c r="B127" s="2" t="s">
        <v>327</v>
      </c>
      <c r="C127" s="2" t="s">
        <v>104</v>
      </c>
      <c r="D127" s="2" t="s">
        <v>328</v>
      </c>
      <c r="E127" s="2" t="s">
        <v>72</v>
      </c>
      <c r="F127" s="2" t="s">
        <v>19</v>
      </c>
      <c r="G127" s="2" t="s">
        <v>44</v>
      </c>
      <c r="H127" s="2">
        <v>2969.23</v>
      </c>
      <c r="I127" s="2">
        <v>1759.71</v>
      </c>
      <c r="J127" s="2">
        <v>1209.52</v>
      </c>
      <c r="K127" s="2" t="s">
        <v>21</v>
      </c>
      <c r="L127" s="2"/>
      <c r="M127" s="2">
        <v>3</v>
      </c>
      <c r="N127" s="2" t="s">
        <v>22</v>
      </c>
    </row>
    <row r="128" spans="1:14" x14ac:dyDescent="0.3">
      <c r="A128" s="2" t="s">
        <v>329</v>
      </c>
      <c r="B128" s="2" t="s">
        <v>330</v>
      </c>
      <c r="C128" s="2" t="s">
        <v>124</v>
      </c>
      <c r="D128" s="2" t="s">
        <v>17</v>
      </c>
      <c r="E128" s="2" t="s">
        <v>226</v>
      </c>
      <c r="F128" s="2" t="s">
        <v>84</v>
      </c>
      <c r="G128" s="2" t="s">
        <v>36</v>
      </c>
      <c r="H128" s="2">
        <v>446.72</v>
      </c>
      <c r="I128" s="2">
        <v>327.42</v>
      </c>
      <c r="J128" s="2">
        <v>119.3</v>
      </c>
      <c r="K128" s="2" t="s">
        <v>21</v>
      </c>
      <c r="L128" s="2"/>
      <c r="M128" s="2">
        <v>4</v>
      </c>
      <c r="N128" s="2" t="s">
        <v>22</v>
      </c>
    </row>
    <row r="129" spans="1:14" x14ac:dyDescent="0.3">
      <c r="A129" s="2" t="s">
        <v>331</v>
      </c>
      <c r="B129" s="2" t="s">
        <v>332</v>
      </c>
      <c r="C129" s="2" t="s">
        <v>104</v>
      </c>
      <c r="D129" s="2" t="s">
        <v>7</v>
      </c>
      <c r="E129" s="2" t="s">
        <v>55</v>
      </c>
      <c r="F129" s="2" t="s">
        <v>40</v>
      </c>
      <c r="G129" s="2" t="s">
        <v>44</v>
      </c>
      <c r="H129" s="2">
        <v>3272.63</v>
      </c>
      <c r="I129" s="2">
        <v>2187.12</v>
      </c>
      <c r="J129" s="2">
        <v>1085.51</v>
      </c>
      <c r="K129" s="2" t="s">
        <v>21</v>
      </c>
      <c r="L129" s="2"/>
      <c r="M129" s="2">
        <v>5</v>
      </c>
      <c r="N129" s="2" t="s">
        <v>22</v>
      </c>
    </row>
    <row r="130" spans="1:14" x14ac:dyDescent="0.3">
      <c r="A130" s="2" t="s">
        <v>333</v>
      </c>
      <c r="B130" s="2" t="s">
        <v>259</v>
      </c>
      <c r="C130" s="2" t="s">
        <v>68</v>
      </c>
      <c r="D130" s="2" t="s">
        <v>42</v>
      </c>
      <c r="E130" s="2" t="s">
        <v>80</v>
      </c>
      <c r="F130" s="2" t="s">
        <v>84</v>
      </c>
      <c r="G130" s="2" t="s">
        <v>20</v>
      </c>
      <c r="H130" s="2">
        <v>3124.12</v>
      </c>
      <c r="I130" s="2">
        <v>2850.71</v>
      </c>
      <c r="J130" s="2">
        <v>273.41000000000003</v>
      </c>
      <c r="K130" s="2" t="s">
        <v>21</v>
      </c>
      <c r="L130" s="2"/>
      <c r="M130" s="2">
        <v>4</v>
      </c>
      <c r="N130" s="2" t="s">
        <v>29</v>
      </c>
    </row>
    <row r="131" spans="1:14" x14ac:dyDescent="0.3">
      <c r="A131" s="2" t="s">
        <v>334</v>
      </c>
      <c r="B131" s="2" t="s">
        <v>335</v>
      </c>
      <c r="C131" s="2" t="s">
        <v>76</v>
      </c>
      <c r="D131" s="2" t="s">
        <v>42</v>
      </c>
      <c r="E131" s="2" t="s">
        <v>162</v>
      </c>
      <c r="F131" s="2" t="s">
        <v>87</v>
      </c>
      <c r="G131" s="2" t="s">
        <v>36</v>
      </c>
      <c r="H131" s="2">
        <v>2290.86</v>
      </c>
      <c r="I131" s="2">
        <v>2046.2</v>
      </c>
      <c r="J131" s="2">
        <v>244.66</v>
      </c>
      <c r="K131" s="2" t="s">
        <v>56</v>
      </c>
      <c r="L131" s="2">
        <v>10</v>
      </c>
      <c r="M131" s="2">
        <v>3</v>
      </c>
      <c r="N131" s="2" t="s">
        <v>29</v>
      </c>
    </row>
    <row r="132" spans="1:14" x14ac:dyDescent="0.3">
      <c r="A132" s="2" t="s">
        <v>336</v>
      </c>
      <c r="B132" s="2" t="s">
        <v>337</v>
      </c>
      <c r="C132" s="2" t="s">
        <v>111</v>
      </c>
      <c r="D132" s="2" t="s">
        <v>17</v>
      </c>
      <c r="E132" s="2" t="s">
        <v>51</v>
      </c>
      <c r="F132" s="2" t="s">
        <v>35</v>
      </c>
      <c r="G132" s="2" t="s">
        <v>44</v>
      </c>
      <c r="H132" s="2">
        <v>1876.51</v>
      </c>
      <c r="I132" s="2">
        <v>1145.58</v>
      </c>
      <c r="J132" s="2">
        <v>730.93</v>
      </c>
      <c r="K132" s="2" t="s">
        <v>338</v>
      </c>
      <c r="L132" s="2">
        <v>8</v>
      </c>
      <c r="M132" s="2">
        <v>1</v>
      </c>
      <c r="N132" s="2" t="s">
        <v>22</v>
      </c>
    </row>
    <row r="133" spans="1:14" x14ac:dyDescent="0.3">
      <c r="A133" s="2" t="s">
        <v>339</v>
      </c>
      <c r="B133" s="2" t="s">
        <v>340</v>
      </c>
      <c r="C133" s="2" t="s">
        <v>54</v>
      </c>
      <c r="D133" s="2" t="s">
        <v>33</v>
      </c>
      <c r="E133" s="2" t="s">
        <v>39</v>
      </c>
      <c r="F133" s="2" t="s">
        <v>87</v>
      </c>
      <c r="G133" s="2" t="s">
        <v>44</v>
      </c>
      <c r="H133" s="2">
        <v>3196.27</v>
      </c>
      <c r="I133" s="2">
        <v>2221.94</v>
      </c>
      <c r="J133" s="2">
        <v>974.33</v>
      </c>
      <c r="K133" s="2" t="s">
        <v>56</v>
      </c>
      <c r="L133" s="2">
        <v>4</v>
      </c>
      <c r="M133" s="2">
        <v>4</v>
      </c>
      <c r="N133" s="2" t="s">
        <v>29</v>
      </c>
    </row>
    <row r="134" spans="1:14" x14ac:dyDescent="0.3">
      <c r="A134" s="2" t="s">
        <v>341</v>
      </c>
      <c r="B134" s="2" t="s">
        <v>342</v>
      </c>
      <c r="C134" s="2" t="s">
        <v>76</v>
      </c>
      <c r="D134" s="2" t="s">
        <v>42</v>
      </c>
      <c r="E134" s="2" t="s">
        <v>262</v>
      </c>
      <c r="F134" s="2" t="s">
        <v>27</v>
      </c>
      <c r="G134" s="2" t="s">
        <v>73</v>
      </c>
      <c r="H134" s="2">
        <v>1025.2</v>
      </c>
      <c r="I134" s="2">
        <v>875.7</v>
      </c>
      <c r="J134" s="2">
        <v>149.5</v>
      </c>
      <c r="K134" s="2" t="s">
        <v>56</v>
      </c>
      <c r="L134" s="2">
        <v>5</v>
      </c>
      <c r="M134" s="2">
        <v>5</v>
      </c>
      <c r="N134" s="2" t="s">
        <v>22</v>
      </c>
    </row>
    <row r="135" spans="1:14" x14ac:dyDescent="0.3">
      <c r="A135" s="2" t="s">
        <v>343</v>
      </c>
      <c r="B135" s="2" t="s">
        <v>344</v>
      </c>
      <c r="C135" s="2" t="s">
        <v>64</v>
      </c>
      <c r="D135" s="2" t="s">
        <v>59</v>
      </c>
      <c r="E135" s="2" t="s">
        <v>155</v>
      </c>
      <c r="F135" s="2" t="s">
        <v>40</v>
      </c>
      <c r="G135" s="2" t="s">
        <v>36</v>
      </c>
      <c r="H135" s="2">
        <v>1293.93</v>
      </c>
      <c r="I135" s="2">
        <v>950.98</v>
      </c>
      <c r="J135" s="2">
        <v>342.95</v>
      </c>
      <c r="K135" s="2" t="s">
        <v>21</v>
      </c>
      <c r="L135" s="2"/>
      <c r="M135" s="2">
        <v>5</v>
      </c>
      <c r="N135" s="2" t="s">
        <v>22</v>
      </c>
    </row>
    <row r="136" spans="1:14" x14ac:dyDescent="0.3">
      <c r="A136" s="2" t="s">
        <v>345</v>
      </c>
      <c r="B136" s="2" t="s">
        <v>346</v>
      </c>
      <c r="C136" s="2" t="s">
        <v>179</v>
      </c>
      <c r="D136" s="2" t="s">
        <v>17</v>
      </c>
      <c r="E136" s="2" t="s">
        <v>18</v>
      </c>
      <c r="F136" s="2" t="s">
        <v>27</v>
      </c>
      <c r="G136" s="2" t="s">
        <v>73</v>
      </c>
      <c r="H136" s="2">
        <v>949.38</v>
      </c>
      <c r="I136" s="2">
        <v>596.95000000000005</v>
      </c>
      <c r="J136" s="2">
        <v>352.43</v>
      </c>
      <c r="K136" s="2" t="s">
        <v>56</v>
      </c>
      <c r="L136" s="2">
        <v>8</v>
      </c>
      <c r="M136" s="2">
        <v>1</v>
      </c>
      <c r="N136" s="2" t="s">
        <v>29</v>
      </c>
    </row>
    <row r="137" spans="1:14" x14ac:dyDescent="0.3">
      <c r="A137" s="2" t="s">
        <v>347</v>
      </c>
      <c r="B137" s="2" t="s">
        <v>279</v>
      </c>
      <c r="C137" s="2" t="s">
        <v>115</v>
      </c>
      <c r="D137" s="2" t="s">
        <v>33</v>
      </c>
      <c r="E137" s="2" t="s">
        <v>119</v>
      </c>
      <c r="F137" s="2" t="s">
        <v>40</v>
      </c>
      <c r="G137" s="2" t="s">
        <v>28</v>
      </c>
      <c r="H137" s="2">
        <v>3201.12</v>
      </c>
      <c r="I137" s="2">
        <v>2558.33</v>
      </c>
      <c r="J137" s="2">
        <v>642.79</v>
      </c>
      <c r="K137" s="2" t="s">
        <v>21</v>
      </c>
      <c r="L137" s="2"/>
      <c r="M137" s="2">
        <v>2</v>
      </c>
      <c r="N137" s="2" t="s">
        <v>29</v>
      </c>
    </row>
    <row r="138" spans="1:14" x14ac:dyDescent="0.3">
      <c r="A138" s="2" t="s">
        <v>348</v>
      </c>
      <c r="B138" s="2" t="s">
        <v>349</v>
      </c>
      <c r="C138" s="2" t="s">
        <v>54</v>
      </c>
      <c r="D138" s="2" t="s">
        <v>7</v>
      </c>
      <c r="E138" s="2" t="s">
        <v>69</v>
      </c>
      <c r="F138" s="2" t="s">
        <v>84</v>
      </c>
      <c r="G138" s="2" t="s">
        <v>73</v>
      </c>
      <c r="H138" s="2">
        <v>1418.73</v>
      </c>
      <c r="I138" s="2">
        <v>964.33</v>
      </c>
      <c r="J138" s="2">
        <v>454.4</v>
      </c>
      <c r="K138" s="2" t="s">
        <v>21</v>
      </c>
      <c r="L138" s="2"/>
      <c r="M138" s="2">
        <v>5</v>
      </c>
      <c r="N138" s="2" t="s">
        <v>22</v>
      </c>
    </row>
    <row r="139" spans="1:14" x14ac:dyDescent="0.3">
      <c r="A139" s="2" t="s">
        <v>350</v>
      </c>
      <c r="B139" s="2" t="s">
        <v>351</v>
      </c>
      <c r="C139" s="2" t="s">
        <v>76</v>
      </c>
      <c r="D139" s="2" t="s">
        <v>33</v>
      </c>
      <c r="E139" s="2" t="s">
        <v>119</v>
      </c>
      <c r="F139" s="2" t="s">
        <v>19</v>
      </c>
      <c r="G139" s="2" t="s">
        <v>36</v>
      </c>
      <c r="H139" s="2">
        <v>1239.0899999999999</v>
      </c>
      <c r="I139" s="2">
        <v>794.16</v>
      </c>
      <c r="J139" s="2">
        <v>444.93</v>
      </c>
      <c r="K139" s="2" t="s">
        <v>21</v>
      </c>
      <c r="L139" s="2"/>
      <c r="M139" s="2">
        <v>4</v>
      </c>
      <c r="N139" s="2" t="s">
        <v>22</v>
      </c>
    </row>
    <row r="140" spans="1:14" x14ac:dyDescent="0.3">
      <c r="A140" s="2" t="s">
        <v>352</v>
      </c>
      <c r="B140" s="2" t="s">
        <v>353</v>
      </c>
      <c r="C140" s="2" t="s">
        <v>111</v>
      </c>
      <c r="D140" s="2" t="s">
        <v>33</v>
      </c>
      <c r="E140" s="2"/>
      <c r="F140" s="2" t="s">
        <v>35</v>
      </c>
      <c r="G140" s="2" t="s">
        <v>36</v>
      </c>
      <c r="H140" s="2">
        <v>5015.43</v>
      </c>
      <c r="I140" s="2">
        <v>3327.83</v>
      </c>
      <c r="J140" s="2">
        <v>1687.6</v>
      </c>
      <c r="K140" s="2" t="s">
        <v>21</v>
      </c>
      <c r="L140" s="2"/>
      <c r="M140" s="2">
        <v>1</v>
      </c>
      <c r="N140" s="2" t="s">
        <v>22</v>
      </c>
    </row>
    <row r="141" spans="1:14" x14ac:dyDescent="0.3">
      <c r="A141" s="2" t="s">
        <v>354</v>
      </c>
      <c r="B141" s="2" t="s">
        <v>310</v>
      </c>
      <c r="C141" s="2" t="s">
        <v>318</v>
      </c>
      <c r="D141" s="2" t="s">
        <v>42</v>
      </c>
      <c r="E141" s="2" t="s">
        <v>77</v>
      </c>
      <c r="F141" s="2" t="s">
        <v>84</v>
      </c>
      <c r="G141" s="2" t="s">
        <v>28</v>
      </c>
      <c r="H141" s="2">
        <v>269.26</v>
      </c>
      <c r="I141" s="2">
        <v>218.55</v>
      </c>
      <c r="J141" s="2">
        <v>50.71</v>
      </c>
      <c r="K141" s="2" t="s">
        <v>21</v>
      </c>
      <c r="L141" s="2"/>
      <c r="M141" s="2">
        <v>5</v>
      </c>
      <c r="N141" s="2" t="s">
        <v>22</v>
      </c>
    </row>
    <row r="142" spans="1:14" x14ac:dyDescent="0.3">
      <c r="A142" s="2" t="s">
        <v>355</v>
      </c>
      <c r="B142" s="2" t="s">
        <v>221</v>
      </c>
      <c r="C142" s="2" t="s">
        <v>25</v>
      </c>
      <c r="D142" s="2" t="s">
        <v>33</v>
      </c>
      <c r="E142" s="2" t="s">
        <v>205</v>
      </c>
      <c r="F142" s="2" t="s">
        <v>40</v>
      </c>
      <c r="G142" s="2" t="s">
        <v>44</v>
      </c>
      <c r="H142" s="2">
        <v>1863.57</v>
      </c>
      <c r="I142" s="2">
        <v>1333.55</v>
      </c>
      <c r="J142" s="2">
        <v>530.02</v>
      </c>
      <c r="K142" s="2" t="s">
        <v>21</v>
      </c>
      <c r="L142" s="2"/>
      <c r="M142" s="2">
        <v>4</v>
      </c>
      <c r="N142" s="2" t="s">
        <v>22</v>
      </c>
    </row>
    <row r="143" spans="1:14" x14ac:dyDescent="0.3">
      <c r="A143" s="2" t="s">
        <v>356</v>
      </c>
      <c r="B143" s="2" t="s">
        <v>357</v>
      </c>
      <c r="C143" s="2" t="s">
        <v>179</v>
      </c>
      <c r="D143" s="2" t="s">
        <v>17</v>
      </c>
      <c r="E143" s="2" t="s">
        <v>51</v>
      </c>
      <c r="F143" s="2" t="s">
        <v>84</v>
      </c>
      <c r="G143" s="2" t="s">
        <v>44</v>
      </c>
      <c r="H143" s="2">
        <v>355.97</v>
      </c>
      <c r="I143" s="2">
        <v>215.15</v>
      </c>
      <c r="J143" s="2">
        <v>140.82</v>
      </c>
      <c r="K143" s="2" t="s">
        <v>21</v>
      </c>
      <c r="L143" s="2"/>
      <c r="M143" s="2">
        <v>5</v>
      </c>
      <c r="N143" s="2" t="s">
        <v>29</v>
      </c>
    </row>
    <row r="144" spans="1:14" x14ac:dyDescent="0.3">
      <c r="A144" s="2" t="s">
        <v>358</v>
      </c>
      <c r="B144" s="2" t="s">
        <v>281</v>
      </c>
      <c r="C144" s="2" t="s">
        <v>54</v>
      </c>
      <c r="D144" s="2" t="s">
        <v>17</v>
      </c>
      <c r="E144" s="2" t="s">
        <v>100</v>
      </c>
      <c r="F144" s="2" t="s">
        <v>27</v>
      </c>
      <c r="G144" s="2" t="s">
        <v>36</v>
      </c>
      <c r="H144" s="2">
        <v>462.08</v>
      </c>
      <c r="I144" s="2">
        <v>274.82</v>
      </c>
      <c r="J144" s="2">
        <v>187.26</v>
      </c>
      <c r="K144" s="2" t="s">
        <v>21</v>
      </c>
      <c r="L144" s="2"/>
      <c r="M144" s="2">
        <v>5</v>
      </c>
      <c r="N144" s="2" t="s">
        <v>22</v>
      </c>
    </row>
    <row r="145" spans="1:14" x14ac:dyDescent="0.3">
      <c r="A145" s="2" t="s">
        <v>359</v>
      </c>
      <c r="B145" s="2" t="s">
        <v>360</v>
      </c>
      <c r="C145" s="2" t="s">
        <v>32</v>
      </c>
      <c r="D145" s="2" t="s">
        <v>33</v>
      </c>
      <c r="E145" s="2" t="s">
        <v>39</v>
      </c>
      <c r="F145" s="2" t="s">
        <v>35</v>
      </c>
      <c r="G145" s="2" t="s">
        <v>73</v>
      </c>
      <c r="H145" s="2">
        <v>1955.36</v>
      </c>
      <c r="I145" s="2">
        <v>1212.0999999999999</v>
      </c>
      <c r="J145" s="2">
        <v>743.26</v>
      </c>
      <c r="K145" s="2" t="s">
        <v>56</v>
      </c>
      <c r="L145" s="2">
        <v>9</v>
      </c>
      <c r="M145" s="2">
        <v>3</v>
      </c>
      <c r="N145" s="2" t="s">
        <v>22</v>
      </c>
    </row>
    <row r="146" spans="1:14" x14ac:dyDescent="0.3">
      <c r="A146" s="2" t="s">
        <v>361</v>
      </c>
      <c r="B146" s="2" t="s">
        <v>362</v>
      </c>
      <c r="C146" s="2" t="s">
        <v>64</v>
      </c>
      <c r="D146" s="2" t="s">
        <v>33</v>
      </c>
      <c r="E146" s="2" t="s">
        <v>119</v>
      </c>
      <c r="F146" s="2" t="s">
        <v>19</v>
      </c>
      <c r="G146" s="2" t="s">
        <v>73</v>
      </c>
      <c r="H146" s="2">
        <v>3136.57</v>
      </c>
      <c r="I146" s="2">
        <v>2393.33</v>
      </c>
      <c r="J146" s="2">
        <v>743.24</v>
      </c>
      <c r="K146" s="2" t="s">
        <v>21</v>
      </c>
      <c r="L146" s="2"/>
      <c r="M146" s="2">
        <v>4</v>
      </c>
      <c r="N146" s="2" t="s">
        <v>29</v>
      </c>
    </row>
    <row r="147" spans="1:14" x14ac:dyDescent="0.3">
      <c r="A147" s="2" t="s">
        <v>363</v>
      </c>
      <c r="B147" s="2" t="s">
        <v>364</v>
      </c>
      <c r="C147" s="2" t="s">
        <v>179</v>
      </c>
      <c r="D147" s="2" t="s">
        <v>17</v>
      </c>
      <c r="E147" s="2" t="s">
        <v>226</v>
      </c>
      <c r="F147" s="2" t="s">
        <v>87</v>
      </c>
      <c r="G147" s="2" t="s">
        <v>28</v>
      </c>
      <c r="H147" s="2">
        <v>2724.51</v>
      </c>
      <c r="I147" s="2">
        <v>2127.7600000000002</v>
      </c>
      <c r="J147" s="2">
        <v>596.75</v>
      </c>
      <c r="K147" s="2" t="s">
        <v>21</v>
      </c>
      <c r="L147" s="2"/>
      <c r="M147" s="2">
        <v>4</v>
      </c>
      <c r="N147" s="2" t="s">
        <v>22</v>
      </c>
    </row>
    <row r="148" spans="1:14" x14ac:dyDescent="0.3">
      <c r="A148" s="2" t="s">
        <v>365</v>
      </c>
      <c r="B148" s="2" t="s">
        <v>366</v>
      </c>
      <c r="C148" s="2" t="s">
        <v>64</v>
      </c>
      <c r="D148" s="2" t="s">
        <v>33</v>
      </c>
      <c r="E148" s="2" t="s">
        <v>205</v>
      </c>
      <c r="F148" s="2" t="s">
        <v>35</v>
      </c>
      <c r="G148" s="2" t="s">
        <v>73</v>
      </c>
      <c r="H148" s="2">
        <v>891.01</v>
      </c>
      <c r="I148" s="2">
        <v>537.58000000000004</v>
      </c>
      <c r="J148" s="2">
        <v>353.43</v>
      </c>
      <c r="K148" s="2" t="s">
        <v>21</v>
      </c>
      <c r="L148" s="2"/>
      <c r="M148" s="2">
        <v>5</v>
      </c>
      <c r="N148" s="2" t="s">
        <v>22</v>
      </c>
    </row>
    <row r="149" spans="1:14" x14ac:dyDescent="0.3">
      <c r="A149" s="2" t="s">
        <v>367</v>
      </c>
      <c r="B149" s="2" t="s">
        <v>368</v>
      </c>
      <c r="C149" s="2" t="s">
        <v>115</v>
      </c>
      <c r="D149" s="2" t="s">
        <v>33</v>
      </c>
      <c r="E149" s="2" t="s">
        <v>171</v>
      </c>
      <c r="F149" s="2" t="s">
        <v>40</v>
      </c>
      <c r="G149" s="2" t="s">
        <v>36</v>
      </c>
      <c r="H149" s="2">
        <v>3407.13</v>
      </c>
      <c r="I149" s="2">
        <v>2680.99</v>
      </c>
      <c r="J149" s="2">
        <v>726.14</v>
      </c>
      <c r="K149" s="2" t="s">
        <v>21</v>
      </c>
      <c r="L149" s="2"/>
      <c r="M149" s="2">
        <v>4</v>
      </c>
      <c r="N149" s="2" t="s">
        <v>22</v>
      </c>
    </row>
    <row r="150" spans="1:14" x14ac:dyDescent="0.3">
      <c r="A150" s="2" t="s">
        <v>369</v>
      </c>
      <c r="B150" s="2" t="s">
        <v>370</v>
      </c>
      <c r="C150" s="2" t="s">
        <v>104</v>
      </c>
      <c r="D150" s="2" t="s">
        <v>59</v>
      </c>
      <c r="E150" s="2" t="s">
        <v>308</v>
      </c>
      <c r="F150" s="2" t="s">
        <v>87</v>
      </c>
      <c r="G150" s="2" t="s">
        <v>28</v>
      </c>
      <c r="H150" s="2">
        <v>3084.98</v>
      </c>
      <c r="I150" s="2">
        <v>2323.87</v>
      </c>
      <c r="J150" s="2">
        <v>761.11</v>
      </c>
      <c r="K150" s="2" t="s">
        <v>21</v>
      </c>
      <c r="L150" s="2"/>
      <c r="M150" s="2"/>
      <c r="N150" s="2" t="s">
        <v>22</v>
      </c>
    </row>
    <row r="151" spans="1:14" x14ac:dyDescent="0.3">
      <c r="A151" s="2" t="s">
        <v>371</v>
      </c>
      <c r="B151" s="2" t="s">
        <v>372</v>
      </c>
      <c r="C151" s="2" t="s">
        <v>104</v>
      </c>
      <c r="D151" s="2" t="s">
        <v>33</v>
      </c>
      <c r="E151" s="2" t="s">
        <v>93</v>
      </c>
      <c r="F151" s="2" t="s">
        <v>19</v>
      </c>
      <c r="G151" s="2" t="s">
        <v>44</v>
      </c>
      <c r="H151" s="2">
        <v>1119.6500000000001</v>
      </c>
      <c r="I151" s="2">
        <v>643.79999999999995</v>
      </c>
      <c r="J151" s="2">
        <v>475.85</v>
      </c>
      <c r="K151" s="2" t="s">
        <v>21</v>
      </c>
      <c r="L151" s="2"/>
      <c r="M151" s="2">
        <v>4</v>
      </c>
      <c r="N151" s="2" t="s">
        <v>22</v>
      </c>
    </row>
    <row r="152" spans="1:14" x14ac:dyDescent="0.3">
      <c r="A152" s="2" t="s">
        <v>373</v>
      </c>
      <c r="B152" s="2" t="s">
        <v>374</v>
      </c>
      <c r="C152" s="2" t="s">
        <v>124</v>
      </c>
      <c r="D152" s="2" t="s">
        <v>375</v>
      </c>
      <c r="E152" s="2" t="s">
        <v>214</v>
      </c>
      <c r="F152" s="2" t="s">
        <v>35</v>
      </c>
      <c r="G152" s="2" t="s">
        <v>44</v>
      </c>
      <c r="H152" s="2">
        <v>1364.48</v>
      </c>
      <c r="I152" s="2">
        <v>983.7</v>
      </c>
      <c r="J152" s="2">
        <v>380.78</v>
      </c>
      <c r="K152" s="2" t="s">
        <v>21</v>
      </c>
      <c r="L152" s="2"/>
      <c r="M152" s="2">
        <v>3</v>
      </c>
      <c r="N152" s="2" t="s">
        <v>22</v>
      </c>
    </row>
    <row r="153" spans="1:14" x14ac:dyDescent="0.3">
      <c r="A153" s="2" t="s">
        <v>376</v>
      </c>
      <c r="B153" s="2" t="s">
        <v>377</v>
      </c>
      <c r="C153" s="2" t="s">
        <v>32</v>
      </c>
      <c r="D153" s="2" t="s">
        <v>7</v>
      </c>
      <c r="E153" s="2" t="s">
        <v>55</v>
      </c>
      <c r="F153" s="2" t="s">
        <v>40</v>
      </c>
      <c r="G153" s="2" t="s">
        <v>73</v>
      </c>
      <c r="H153" s="2">
        <v>2072.7800000000002</v>
      </c>
      <c r="I153" s="2">
        <v>1311.82</v>
      </c>
      <c r="J153" s="2">
        <v>760.96</v>
      </c>
      <c r="K153" s="2" t="s">
        <v>21</v>
      </c>
      <c r="L153" s="2"/>
      <c r="M153" s="2">
        <v>4</v>
      </c>
      <c r="N153" s="2" t="s">
        <v>29</v>
      </c>
    </row>
    <row r="154" spans="1:14" x14ac:dyDescent="0.3">
      <c r="A154" s="2" t="s">
        <v>378</v>
      </c>
      <c r="B154" s="2" t="s">
        <v>58</v>
      </c>
      <c r="C154" s="2" t="s">
        <v>54</v>
      </c>
      <c r="D154" s="2" t="s">
        <v>17</v>
      </c>
      <c r="E154" s="2" t="s">
        <v>96</v>
      </c>
      <c r="F154" s="2" t="s">
        <v>27</v>
      </c>
      <c r="G154" s="2" t="s">
        <v>28</v>
      </c>
      <c r="H154" s="2">
        <v>1866.96</v>
      </c>
      <c r="I154" s="2">
        <v>1295.33</v>
      </c>
      <c r="J154" s="2">
        <v>571.63</v>
      </c>
      <c r="K154" s="2" t="s">
        <v>56</v>
      </c>
      <c r="L154" s="2">
        <v>6</v>
      </c>
      <c r="M154" s="2">
        <v>2</v>
      </c>
      <c r="N154" s="2" t="s">
        <v>22</v>
      </c>
    </row>
    <row r="155" spans="1:14" x14ac:dyDescent="0.3">
      <c r="A155" s="2" t="s">
        <v>379</v>
      </c>
      <c r="B155" s="2" t="s">
        <v>380</v>
      </c>
      <c r="C155" s="2" t="s">
        <v>104</v>
      </c>
      <c r="D155" s="2" t="s">
        <v>7</v>
      </c>
      <c r="E155" s="2" t="s">
        <v>65</v>
      </c>
      <c r="F155" s="2" t="s">
        <v>27</v>
      </c>
      <c r="G155" s="2" t="s">
        <v>36</v>
      </c>
      <c r="H155" s="2">
        <v>2789.22</v>
      </c>
      <c r="I155" s="2">
        <v>1969.93</v>
      </c>
      <c r="J155" s="2">
        <v>819.29</v>
      </c>
      <c r="K155" s="2" t="s">
        <v>21</v>
      </c>
      <c r="L155" s="2"/>
      <c r="M155" s="2">
        <v>5</v>
      </c>
      <c r="N155" s="2" t="s">
        <v>22</v>
      </c>
    </row>
    <row r="156" spans="1:14" x14ac:dyDescent="0.3">
      <c r="A156" s="2" t="s">
        <v>381</v>
      </c>
      <c r="B156" s="2" t="s">
        <v>382</v>
      </c>
      <c r="C156" s="2" t="s">
        <v>124</v>
      </c>
      <c r="D156" s="2" t="s">
        <v>33</v>
      </c>
      <c r="E156" s="2" t="s">
        <v>93</v>
      </c>
      <c r="F156" s="2" t="s">
        <v>40</v>
      </c>
      <c r="G156" s="2" t="s">
        <v>36</v>
      </c>
      <c r="H156" s="2">
        <v>1199.45</v>
      </c>
      <c r="I156" s="2">
        <v>953.12</v>
      </c>
      <c r="J156" s="2">
        <v>246.33</v>
      </c>
      <c r="K156" s="2" t="s">
        <v>21</v>
      </c>
      <c r="L156" s="2"/>
      <c r="M156" s="2">
        <v>5</v>
      </c>
      <c r="N156" s="2" t="s">
        <v>22</v>
      </c>
    </row>
    <row r="157" spans="1:14" x14ac:dyDescent="0.3">
      <c r="A157" s="2" t="s">
        <v>383</v>
      </c>
      <c r="B157" s="2" t="s">
        <v>384</v>
      </c>
      <c r="C157" s="2" t="s">
        <v>64</v>
      </c>
      <c r="D157" s="2" t="s">
        <v>17</v>
      </c>
      <c r="E157" s="2" t="s">
        <v>51</v>
      </c>
      <c r="F157" s="2" t="s">
        <v>84</v>
      </c>
      <c r="G157" s="2" t="s">
        <v>28</v>
      </c>
      <c r="H157" s="2">
        <v>2018.74</v>
      </c>
      <c r="I157" s="2">
        <v>1294.82</v>
      </c>
      <c r="J157" s="2">
        <v>723.92</v>
      </c>
      <c r="K157" s="2" t="s">
        <v>21</v>
      </c>
      <c r="L157" s="2"/>
      <c r="M157" s="2">
        <v>4</v>
      </c>
      <c r="N157" s="2" t="s">
        <v>29</v>
      </c>
    </row>
    <row r="158" spans="1:14" x14ac:dyDescent="0.3">
      <c r="A158" s="2" t="s">
        <v>385</v>
      </c>
      <c r="B158" s="2" t="s">
        <v>50</v>
      </c>
      <c r="C158" s="2" t="s">
        <v>16</v>
      </c>
      <c r="D158" s="2" t="s">
        <v>42</v>
      </c>
      <c r="E158" s="2" t="s">
        <v>214</v>
      </c>
      <c r="F158" s="2" t="s">
        <v>35</v>
      </c>
      <c r="G158" s="2" t="s">
        <v>28</v>
      </c>
      <c r="H158" s="2">
        <v>995.51</v>
      </c>
      <c r="I158" s="2">
        <v>873.18</v>
      </c>
      <c r="J158" s="2">
        <v>122.33</v>
      </c>
      <c r="K158" s="2" t="s">
        <v>21</v>
      </c>
      <c r="L158" s="2"/>
      <c r="M158" s="2">
        <v>4</v>
      </c>
      <c r="N158" s="2" t="s">
        <v>22</v>
      </c>
    </row>
    <row r="159" spans="1:14" x14ac:dyDescent="0.3">
      <c r="A159" s="2" t="s">
        <v>386</v>
      </c>
      <c r="B159" s="2" t="s">
        <v>387</v>
      </c>
      <c r="C159" s="2" t="s">
        <v>32</v>
      </c>
      <c r="D159" s="2" t="s">
        <v>7</v>
      </c>
      <c r="E159" s="2" t="s">
        <v>182</v>
      </c>
      <c r="F159" s="2" t="s">
        <v>19</v>
      </c>
      <c r="G159" s="2" t="s">
        <v>36</v>
      </c>
      <c r="H159" s="2">
        <v>788.61</v>
      </c>
      <c r="I159" s="2">
        <v>444.58</v>
      </c>
      <c r="J159" s="2">
        <v>344.03</v>
      </c>
      <c r="K159" s="2" t="s">
        <v>56</v>
      </c>
      <c r="L159" s="2">
        <v>1</v>
      </c>
      <c r="M159" s="2">
        <v>1</v>
      </c>
      <c r="N159" s="2" t="s">
        <v>22</v>
      </c>
    </row>
    <row r="160" spans="1:14" x14ac:dyDescent="0.3">
      <c r="A160" s="2" t="s">
        <v>388</v>
      </c>
      <c r="B160" s="2" t="s">
        <v>296</v>
      </c>
      <c r="C160" s="2" t="s">
        <v>76</v>
      </c>
      <c r="D160" s="2" t="s">
        <v>17</v>
      </c>
      <c r="E160" s="2" t="s">
        <v>26</v>
      </c>
      <c r="F160" s="2" t="s">
        <v>35</v>
      </c>
      <c r="G160" s="2" t="s">
        <v>28</v>
      </c>
      <c r="H160" s="2">
        <v>1975.96</v>
      </c>
      <c r="I160" s="2">
        <v>1185.7</v>
      </c>
      <c r="J160" s="2">
        <v>790.26</v>
      </c>
      <c r="K160" s="2" t="s">
        <v>56</v>
      </c>
      <c r="L160" s="2">
        <v>9</v>
      </c>
      <c r="M160" s="2">
        <v>1</v>
      </c>
      <c r="N160" s="2" t="s">
        <v>22</v>
      </c>
    </row>
    <row r="161" spans="1:14" x14ac:dyDescent="0.3">
      <c r="A161" s="2" t="s">
        <v>389</v>
      </c>
      <c r="B161" s="2" t="s">
        <v>390</v>
      </c>
      <c r="C161" s="2" t="s">
        <v>111</v>
      </c>
      <c r="D161" s="2" t="s">
        <v>7</v>
      </c>
      <c r="E161" s="2" t="s">
        <v>128</v>
      </c>
      <c r="F161" s="2" t="s">
        <v>27</v>
      </c>
      <c r="G161" s="2" t="s">
        <v>44</v>
      </c>
      <c r="H161" s="2">
        <v>388.57</v>
      </c>
      <c r="I161" s="2">
        <v>300.11</v>
      </c>
      <c r="J161" s="2">
        <v>88.46</v>
      </c>
      <c r="K161" s="2" t="s">
        <v>21</v>
      </c>
      <c r="L161" s="2"/>
      <c r="M161" s="2">
        <v>4</v>
      </c>
      <c r="N161" s="2" t="s">
        <v>29</v>
      </c>
    </row>
    <row r="162" spans="1:14" x14ac:dyDescent="0.3">
      <c r="A162" s="2" t="s">
        <v>391</v>
      </c>
      <c r="B162" s="2" t="s">
        <v>392</v>
      </c>
      <c r="C162" s="2" t="s">
        <v>115</v>
      </c>
      <c r="D162" s="2" t="s">
        <v>393</v>
      </c>
      <c r="E162" s="2" t="s">
        <v>301</v>
      </c>
      <c r="F162" s="2" t="s">
        <v>40</v>
      </c>
      <c r="G162" s="2" t="s">
        <v>44</v>
      </c>
      <c r="H162" s="2">
        <v>1302.51</v>
      </c>
      <c r="I162" s="2">
        <v>900.57</v>
      </c>
      <c r="J162" s="2">
        <v>401.94</v>
      </c>
      <c r="K162" s="2" t="s">
        <v>21</v>
      </c>
      <c r="L162" s="2"/>
      <c r="M162" s="2">
        <v>4</v>
      </c>
      <c r="N162" s="2" t="s">
        <v>22</v>
      </c>
    </row>
    <row r="163" spans="1:14" x14ac:dyDescent="0.3">
      <c r="A163" s="2" t="s">
        <v>394</v>
      </c>
      <c r="B163" s="2" t="s">
        <v>53</v>
      </c>
      <c r="C163" s="2" t="s">
        <v>54</v>
      </c>
      <c r="D163" s="2" t="s">
        <v>42</v>
      </c>
      <c r="E163" s="2" t="s">
        <v>262</v>
      </c>
      <c r="F163" s="2" t="s">
        <v>40</v>
      </c>
      <c r="G163" s="2" t="s">
        <v>73</v>
      </c>
      <c r="H163" s="2">
        <v>3395.23</v>
      </c>
      <c r="I163" s="2">
        <v>2594.36</v>
      </c>
      <c r="J163" s="2">
        <v>800.87</v>
      </c>
      <c r="K163" s="2" t="s">
        <v>21</v>
      </c>
      <c r="L163" s="2"/>
      <c r="M163" s="2">
        <v>4</v>
      </c>
      <c r="N163" s="2" t="s">
        <v>29</v>
      </c>
    </row>
    <row r="164" spans="1:14" x14ac:dyDescent="0.3">
      <c r="A164" s="2" t="s">
        <v>395</v>
      </c>
      <c r="B164" s="2" t="s">
        <v>310</v>
      </c>
      <c r="C164" s="2" t="s">
        <v>124</v>
      </c>
      <c r="D164" s="2" t="s">
        <v>42</v>
      </c>
      <c r="E164" s="2" t="s">
        <v>77</v>
      </c>
      <c r="F164" s="2" t="s">
        <v>27</v>
      </c>
      <c r="G164" s="2" t="s">
        <v>28</v>
      </c>
      <c r="H164" s="2">
        <v>1447.81</v>
      </c>
      <c r="I164" s="2">
        <v>1204.75</v>
      </c>
      <c r="J164" s="2">
        <v>243.06</v>
      </c>
      <c r="K164" s="2" t="s">
        <v>21</v>
      </c>
      <c r="L164" s="2"/>
      <c r="M164" s="2">
        <v>5</v>
      </c>
      <c r="N164" s="2" t="s">
        <v>22</v>
      </c>
    </row>
    <row r="165" spans="1:14" x14ac:dyDescent="0.3">
      <c r="A165" s="2" t="s">
        <v>396</v>
      </c>
      <c r="B165" s="2" t="s">
        <v>397</v>
      </c>
      <c r="C165" s="2" t="s">
        <v>115</v>
      </c>
      <c r="D165" s="2" t="s">
        <v>42</v>
      </c>
      <c r="E165" s="2" t="s">
        <v>162</v>
      </c>
      <c r="F165" s="2" t="s">
        <v>27</v>
      </c>
      <c r="G165" s="2" t="s">
        <v>20</v>
      </c>
      <c r="H165" s="2">
        <v>708.62</v>
      </c>
      <c r="I165" s="2">
        <v>520.78</v>
      </c>
      <c r="J165" s="2">
        <v>187.84</v>
      </c>
      <c r="K165" s="2" t="s">
        <v>21</v>
      </c>
      <c r="L165" s="2"/>
      <c r="M165" s="2">
        <v>4</v>
      </c>
      <c r="N165" s="2" t="s">
        <v>22</v>
      </c>
    </row>
    <row r="166" spans="1:14" x14ac:dyDescent="0.3">
      <c r="A166" s="2" t="s">
        <v>398</v>
      </c>
      <c r="B166" s="2" t="s">
        <v>399</v>
      </c>
      <c r="C166" s="2" t="s">
        <v>25</v>
      </c>
      <c r="D166" s="2" t="s">
        <v>7</v>
      </c>
      <c r="E166" s="2" t="s">
        <v>128</v>
      </c>
      <c r="F166" s="2" t="s">
        <v>87</v>
      </c>
      <c r="G166" s="2" t="s">
        <v>73</v>
      </c>
      <c r="H166" s="2">
        <v>1279.3399999999999</v>
      </c>
      <c r="I166" s="2">
        <v>765.09</v>
      </c>
      <c r="J166" s="2">
        <v>514.25</v>
      </c>
      <c r="K166" s="2" t="s">
        <v>21</v>
      </c>
      <c r="L166" s="2"/>
      <c r="M166" s="2">
        <v>5</v>
      </c>
      <c r="N166" s="2" t="s">
        <v>22</v>
      </c>
    </row>
    <row r="167" spans="1:14" x14ac:dyDescent="0.3">
      <c r="A167" s="2" t="s">
        <v>400</v>
      </c>
      <c r="B167" s="2" t="s">
        <v>401</v>
      </c>
      <c r="C167" s="2" t="s">
        <v>64</v>
      </c>
      <c r="D167" s="2" t="s">
        <v>42</v>
      </c>
      <c r="E167" s="2" t="s">
        <v>83</v>
      </c>
      <c r="F167" s="2" t="s">
        <v>27</v>
      </c>
      <c r="G167" s="2" t="s">
        <v>28</v>
      </c>
      <c r="H167" s="2">
        <v>3447.75</v>
      </c>
      <c r="I167" s="2">
        <v>3162.13</v>
      </c>
      <c r="J167" s="2">
        <v>285.62</v>
      </c>
      <c r="K167" s="2" t="s">
        <v>21</v>
      </c>
      <c r="L167" s="2"/>
      <c r="M167" s="2">
        <v>2</v>
      </c>
      <c r="N167" s="2" t="s">
        <v>29</v>
      </c>
    </row>
    <row r="168" spans="1:14" x14ac:dyDescent="0.3">
      <c r="A168" s="2" t="s">
        <v>402</v>
      </c>
      <c r="B168" s="2" t="s">
        <v>403</v>
      </c>
      <c r="C168" s="2" t="s">
        <v>64</v>
      </c>
      <c r="D168" s="2" t="s">
        <v>59</v>
      </c>
      <c r="E168" s="2" t="s">
        <v>108</v>
      </c>
      <c r="F168" s="2" t="s">
        <v>84</v>
      </c>
      <c r="G168" s="2" t="s">
        <v>299</v>
      </c>
      <c r="H168" s="2">
        <v>1983.49</v>
      </c>
      <c r="I168" s="2">
        <v>1155.68</v>
      </c>
      <c r="J168" s="2">
        <v>827.81</v>
      </c>
      <c r="K168" s="2" t="s">
        <v>21</v>
      </c>
      <c r="L168" s="2"/>
      <c r="M168" s="2">
        <v>5</v>
      </c>
      <c r="N168" s="2" t="s">
        <v>29</v>
      </c>
    </row>
    <row r="169" spans="1:14" x14ac:dyDescent="0.3">
      <c r="A169" s="2" t="s">
        <v>404</v>
      </c>
      <c r="B169" s="2" t="s">
        <v>405</v>
      </c>
      <c r="C169" s="2" t="s">
        <v>179</v>
      </c>
      <c r="D169" s="2" t="s">
        <v>42</v>
      </c>
      <c r="E169" s="2" t="s">
        <v>83</v>
      </c>
      <c r="F169" s="2" t="s">
        <v>19</v>
      </c>
      <c r="G169" s="2" t="s">
        <v>44</v>
      </c>
      <c r="H169" s="2">
        <v>1403.76</v>
      </c>
      <c r="I169" s="2">
        <v>1167.79</v>
      </c>
      <c r="J169" s="2">
        <v>235.97</v>
      </c>
      <c r="K169" s="2" t="s">
        <v>21</v>
      </c>
      <c r="L169" s="2"/>
      <c r="M169" s="2">
        <v>4</v>
      </c>
      <c r="N169" s="2" t="s">
        <v>22</v>
      </c>
    </row>
    <row r="170" spans="1:14" x14ac:dyDescent="0.3">
      <c r="A170" s="2" t="s">
        <v>406</v>
      </c>
      <c r="B170" s="2" t="s">
        <v>357</v>
      </c>
      <c r="C170" s="2" t="s">
        <v>179</v>
      </c>
      <c r="D170" s="2" t="s">
        <v>7</v>
      </c>
      <c r="E170" s="2" t="s">
        <v>69</v>
      </c>
      <c r="F170" s="2" t="s">
        <v>40</v>
      </c>
      <c r="G170" s="2" t="s">
        <v>20</v>
      </c>
      <c r="H170" s="2">
        <v>1500.05</v>
      </c>
      <c r="I170" s="2">
        <v>1086.72</v>
      </c>
      <c r="J170" s="2">
        <v>413.33</v>
      </c>
      <c r="K170" s="2" t="s">
        <v>21</v>
      </c>
      <c r="L170" s="2"/>
      <c r="M170" s="2">
        <v>4</v>
      </c>
      <c r="N170" s="2" t="s">
        <v>22</v>
      </c>
    </row>
    <row r="171" spans="1:14" x14ac:dyDescent="0.3">
      <c r="A171" s="2" t="s">
        <v>407</v>
      </c>
      <c r="B171" s="2" t="s">
        <v>264</v>
      </c>
      <c r="C171" s="2" t="s">
        <v>68</v>
      </c>
      <c r="D171" s="2" t="s">
        <v>42</v>
      </c>
      <c r="E171" s="2" t="s">
        <v>80</v>
      </c>
      <c r="F171" s="2" t="s">
        <v>84</v>
      </c>
      <c r="G171" s="2" t="s">
        <v>73</v>
      </c>
      <c r="H171" s="2">
        <v>419.94</v>
      </c>
      <c r="I171" s="2">
        <v>307.89</v>
      </c>
      <c r="J171" s="2">
        <v>112.05</v>
      </c>
      <c r="K171" s="2" t="s">
        <v>21</v>
      </c>
      <c r="L171" s="2"/>
      <c r="M171" s="2">
        <v>2</v>
      </c>
      <c r="N171" s="2" t="s">
        <v>29</v>
      </c>
    </row>
    <row r="172" spans="1:14" x14ac:dyDescent="0.3">
      <c r="A172" s="2" t="s">
        <v>408</v>
      </c>
      <c r="B172" s="2" t="s">
        <v>409</v>
      </c>
      <c r="C172" s="2" t="s">
        <v>104</v>
      </c>
      <c r="D172" s="2" t="s">
        <v>33</v>
      </c>
      <c r="E172" s="2" t="s">
        <v>93</v>
      </c>
      <c r="F172" s="2" t="s">
        <v>87</v>
      </c>
      <c r="G172" s="2" t="s">
        <v>36</v>
      </c>
      <c r="H172" s="2">
        <v>830.34</v>
      </c>
      <c r="I172" s="2">
        <v>637.04999999999995</v>
      </c>
      <c r="J172" s="2">
        <v>193.29</v>
      </c>
      <c r="K172" s="2" t="s">
        <v>21</v>
      </c>
      <c r="L172" s="2"/>
      <c r="M172" s="2">
        <v>5</v>
      </c>
      <c r="N172" s="2" t="s">
        <v>22</v>
      </c>
    </row>
    <row r="173" spans="1:14" x14ac:dyDescent="0.3">
      <c r="A173" s="2" t="s">
        <v>410</v>
      </c>
      <c r="B173" s="2" t="s">
        <v>411</v>
      </c>
      <c r="C173" s="2" t="s">
        <v>179</v>
      </c>
      <c r="D173" s="2" t="s">
        <v>42</v>
      </c>
      <c r="E173" s="2" t="s">
        <v>83</v>
      </c>
      <c r="F173" s="2" t="s">
        <v>19</v>
      </c>
      <c r="G173" s="2" t="s">
        <v>28</v>
      </c>
      <c r="H173" s="2">
        <v>1885.16</v>
      </c>
      <c r="I173" s="2">
        <v>1340.44</v>
      </c>
      <c r="J173" s="2">
        <v>544.72</v>
      </c>
      <c r="K173" s="2" t="s">
        <v>21</v>
      </c>
      <c r="L173" s="2"/>
      <c r="M173" s="2">
        <v>3</v>
      </c>
      <c r="N173" s="2" t="s">
        <v>22</v>
      </c>
    </row>
    <row r="174" spans="1:14" x14ac:dyDescent="0.3">
      <c r="A174" s="2" t="s">
        <v>412</v>
      </c>
      <c r="B174" s="2" t="s">
        <v>413</v>
      </c>
      <c r="C174" s="2" t="s">
        <v>104</v>
      </c>
      <c r="D174" s="2" t="s">
        <v>7</v>
      </c>
      <c r="E174" s="2" t="s">
        <v>65</v>
      </c>
      <c r="F174" s="2" t="s">
        <v>87</v>
      </c>
      <c r="G174" s="2" t="s">
        <v>73</v>
      </c>
      <c r="H174" s="2">
        <v>3483.01</v>
      </c>
      <c r="I174" s="2">
        <v>2121.6</v>
      </c>
      <c r="J174" s="2">
        <v>1361.41</v>
      </c>
      <c r="K174" s="2" t="s">
        <v>21</v>
      </c>
      <c r="L174" s="2"/>
      <c r="M174" s="2">
        <v>4</v>
      </c>
      <c r="N174" s="2" t="s">
        <v>22</v>
      </c>
    </row>
    <row r="175" spans="1:14" x14ac:dyDescent="0.3">
      <c r="A175" s="2" t="s">
        <v>414</v>
      </c>
      <c r="B175" s="2" t="s">
        <v>415</v>
      </c>
      <c r="C175" s="2" t="s">
        <v>54</v>
      </c>
      <c r="D175" s="2" t="s">
        <v>59</v>
      </c>
      <c r="E175" s="2" t="s">
        <v>194</v>
      </c>
      <c r="F175" s="2" t="s">
        <v>35</v>
      </c>
      <c r="G175" s="2" t="s">
        <v>28</v>
      </c>
      <c r="H175" s="2">
        <v>2903.79</v>
      </c>
      <c r="I175" s="2">
        <v>2173.67</v>
      </c>
      <c r="J175" s="2">
        <v>730.12</v>
      </c>
      <c r="K175" s="2" t="s">
        <v>21</v>
      </c>
      <c r="L175" s="2"/>
      <c r="M175" s="2">
        <v>2</v>
      </c>
      <c r="N175" s="2" t="s">
        <v>29</v>
      </c>
    </row>
    <row r="176" spans="1:14" x14ac:dyDescent="0.3">
      <c r="A176" s="2" t="s">
        <v>416</v>
      </c>
      <c r="B176" s="2" t="s">
        <v>417</v>
      </c>
      <c r="C176" s="2" t="s">
        <v>16</v>
      </c>
      <c r="D176" s="2" t="s">
        <v>17</v>
      </c>
      <c r="E176" s="2" t="s">
        <v>100</v>
      </c>
      <c r="F176" s="2" t="s">
        <v>84</v>
      </c>
      <c r="G176" s="2" t="s">
        <v>418</v>
      </c>
      <c r="H176" s="2">
        <v>2821.54</v>
      </c>
      <c r="I176" s="2">
        <v>1987.46</v>
      </c>
      <c r="J176" s="2">
        <v>834.08</v>
      </c>
      <c r="K176" s="2" t="s">
        <v>21</v>
      </c>
      <c r="L176" s="2"/>
      <c r="M176" s="2">
        <v>4</v>
      </c>
      <c r="N176" s="2" t="s">
        <v>22</v>
      </c>
    </row>
    <row r="177" spans="1:14" x14ac:dyDescent="0.3">
      <c r="A177" s="2" t="s">
        <v>419</v>
      </c>
      <c r="B177" s="2" t="s">
        <v>420</v>
      </c>
      <c r="C177" s="2" t="s">
        <v>25</v>
      </c>
      <c r="D177" s="2" t="s">
        <v>33</v>
      </c>
      <c r="E177" s="2"/>
      <c r="F177" s="2" t="s">
        <v>35</v>
      </c>
      <c r="G177" s="2" t="s">
        <v>421</v>
      </c>
      <c r="H177" s="2">
        <v>2736.32</v>
      </c>
      <c r="I177" s="2">
        <v>2004.89</v>
      </c>
      <c r="J177" s="2">
        <v>731.43</v>
      </c>
      <c r="K177" s="2" t="s">
        <v>56</v>
      </c>
      <c r="L177" s="2">
        <v>6</v>
      </c>
      <c r="M177" s="2">
        <v>2</v>
      </c>
      <c r="N177" s="2" t="s">
        <v>22</v>
      </c>
    </row>
    <row r="178" spans="1:14" x14ac:dyDescent="0.3">
      <c r="A178" s="2" t="s">
        <v>422</v>
      </c>
      <c r="B178" s="2" t="s">
        <v>423</v>
      </c>
      <c r="C178" s="2" t="s">
        <v>111</v>
      </c>
      <c r="D178" s="2" t="s">
        <v>33</v>
      </c>
      <c r="E178" s="2" t="s">
        <v>119</v>
      </c>
      <c r="F178" s="2" t="s">
        <v>35</v>
      </c>
      <c r="G178" s="2" t="s">
        <v>28</v>
      </c>
      <c r="H178" s="2">
        <v>2379.4899999999998</v>
      </c>
      <c r="I178" s="2">
        <v>1811.09</v>
      </c>
      <c r="J178" s="2">
        <v>568.4</v>
      </c>
      <c r="K178" s="2" t="s">
        <v>21</v>
      </c>
      <c r="L178" s="2"/>
      <c r="M178" s="2">
        <v>5</v>
      </c>
      <c r="N178" s="2" t="s">
        <v>22</v>
      </c>
    </row>
    <row r="179" spans="1:14" x14ac:dyDescent="0.3">
      <c r="A179" s="2" t="s">
        <v>424</v>
      </c>
      <c r="B179" s="2" t="s">
        <v>425</v>
      </c>
      <c r="C179" s="2" t="s">
        <v>64</v>
      </c>
      <c r="D179" s="2" t="s">
        <v>17</v>
      </c>
      <c r="E179" s="2" t="s">
        <v>72</v>
      </c>
      <c r="F179" s="2" t="s">
        <v>19</v>
      </c>
      <c r="G179" s="2" t="s">
        <v>44</v>
      </c>
      <c r="H179" s="2">
        <v>1397.15</v>
      </c>
      <c r="I179" s="2">
        <v>900.43</v>
      </c>
      <c r="J179" s="2">
        <v>496.72</v>
      </c>
      <c r="K179" s="2" t="s">
        <v>21</v>
      </c>
      <c r="L179" s="2"/>
      <c r="M179" s="2">
        <v>4</v>
      </c>
      <c r="N179" s="2" t="s">
        <v>22</v>
      </c>
    </row>
    <row r="180" spans="1:14" x14ac:dyDescent="0.3">
      <c r="A180" s="2" t="s">
        <v>426</v>
      </c>
      <c r="B180" s="2" t="s">
        <v>427</v>
      </c>
      <c r="C180" s="2" t="s">
        <v>124</v>
      </c>
      <c r="D180" s="2" t="s">
        <v>17</v>
      </c>
      <c r="E180" s="2" t="s">
        <v>96</v>
      </c>
      <c r="F180" s="2" t="s">
        <v>84</v>
      </c>
      <c r="G180" s="2" t="s">
        <v>20</v>
      </c>
      <c r="H180" s="2">
        <v>2273.66</v>
      </c>
      <c r="I180" s="2">
        <v>1731.37</v>
      </c>
      <c r="J180" s="2">
        <v>542.29</v>
      </c>
      <c r="K180" s="2" t="s">
        <v>21</v>
      </c>
      <c r="L180" s="2"/>
      <c r="M180" s="2">
        <v>4</v>
      </c>
      <c r="N180" s="2" t="s">
        <v>22</v>
      </c>
    </row>
    <row r="181" spans="1:14" x14ac:dyDescent="0.3">
      <c r="A181" s="2" t="s">
        <v>428</v>
      </c>
      <c r="B181" s="2" t="s">
        <v>429</v>
      </c>
      <c r="C181" s="2" t="s">
        <v>115</v>
      </c>
      <c r="D181" s="2" t="s">
        <v>33</v>
      </c>
      <c r="E181" s="2" t="s">
        <v>119</v>
      </c>
      <c r="F181" s="2" t="s">
        <v>84</v>
      </c>
      <c r="G181" s="2" t="s">
        <v>36</v>
      </c>
      <c r="H181" s="2">
        <v>1347.22</v>
      </c>
      <c r="I181" s="2">
        <v>852.43</v>
      </c>
      <c r="J181" s="2">
        <v>494.79</v>
      </c>
      <c r="K181" s="2" t="s">
        <v>21</v>
      </c>
      <c r="L181" s="2"/>
      <c r="M181" s="2">
        <v>5</v>
      </c>
      <c r="N181" s="2" t="s">
        <v>22</v>
      </c>
    </row>
    <row r="182" spans="1:14" x14ac:dyDescent="0.3">
      <c r="A182" s="2" t="s">
        <v>430</v>
      </c>
      <c r="B182" s="2" t="s">
        <v>431</v>
      </c>
      <c r="C182" s="2" t="s">
        <v>64</v>
      </c>
      <c r="D182" s="2" t="s">
        <v>42</v>
      </c>
      <c r="E182" s="2" t="s">
        <v>80</v>
      </c>
      <c r="F182" s="2" t="s">
        <v>19</v>
      </c>
      <c r="G182" s="2" t="s">
        <v>44</v>
      </c>
      <c r="H182" s="2">
        <v>2854.36</v>
      </c>
      <c r="I182" s="2">
        <v>2234.11</v>
      </c>
      <c r="J182" s="2">
        <v>620.25</v>
      </c>
      <c r="K182" s="2" t="s">
        <v>56</v>
      </c>
      <c r="L182" s="2">
        <v>8</v>
      </c>
      <c r="M182" s="2">
        <v>1</v>
      </c>
      <c r="N182" s="2" t="s">
        <v>29</v>
      </c>
    </row>
    <row r="183" spans="1:14" x14ac:dyDescent="0.3">
      <c r="A183" s="2" t="s">
        <v>432</v>
      </c>
      <c r="B183" s="2" t="s">
        <v>433</v>
      </c>
      <c r="C183" s="2" t="s">
        <v>68</v>
      </c>
      <c r="D183" s="2" t="s">
        <v>59</v>
      </c>
      <c r="E183" s="2" t="s">
        <v>301</v>
      </c>
      <c r="F183" s="2" t="s">
        <v>87</v>
      </c>
      <c r="G183" s="2" t="s">
        <v>73</v>
      </c>
      <c r="H183" s="2">
        <v>3392.46</v>
      </c>
      <c r="I183" s="2">
        <v>1866.57</v>
      </c>
      <c r="J183" s="2">
        <v>1525.89</v>
      </c>
      <c r="K183" s="2" t="s">
        <v>56</v>
      </c>
      <c r="L183" s="2">
        <v>1</v>
      </c>
      <c r="M183" s="2">
        <v>2</v>
      </c>
      <c r="N183" s="2" t="s">
        <v>22</v>
      </c>
    </row>
    <row r="184" spans="1:14" x14ac:dyDescent="0.3">
      <c r="A184" s="2" t="s">
        <v>434</v>
      </c>
      <c r="B184" s="2" t="s">
        <v>435</v>
      </c>
      <c r="C184" s="2" t="s">
        <v>76</v>
      </c>
      <c r="D184" s="2" t="s">
        <v>33</v>
      </c>
      <c r="E184" s="2" t="s">
        <v>105</v>
      </c>
      <c r="F184" s="2" t="s">
        <v>87</v>
      </c>
      <c r="G184" s="2" t="s">
        <v>28</v>
      </c>
      <c r="H184" s="2">
        <v>1702.99</v>
      </c>
      <c r="I184" s="2">
        <v>1211.72</v>
      </c>
      <c r="J184" s="2">
        <v>491.27</v>
      </c>
      <c r="K184" s="2" t="s">
        <v>21</v>
      </c>
      <c r="L184" s="2"/>
      <c r="M184" s="2">
        <v>5</v>
      </c>
      <c r="N184" s="2" t="s">
        <v>22</v>
      </c>
    </row>
    <row r="185" spans="1:14" x14ac:dyDescent="0.3">
      <c r="A185" s="2" t="s">
        <v>436</v>
      </c>
      <c r="B185" s="2" t="s">
        <v>437</v>
      </c>
      <c r="C185" s="2" t="s">
        <v>16</v>
      </c>
      <c r="D185" s="2" t="s">
        <v>7</v>
      </c>
      <c r="E185" s="2" t="s">
        <v>69</v>
      </c>
      <c r="F185" s="2" t="s">
        <v>40</v>
      </c>
      <c r="G185" s="2" t="s">
        <v>28</v>
      </c>
      <c r="H185" s="2">
        <v>3287.64</v>
      </c>
      <c r="I185" s="2">
        <v>2598.9899999999998</v>
      </c>
      <c r="J185" s="2">
        <v>688.65</v>
      </c>
      <c r="K185" s="2" t="s">
        <v>90</v>
      </c>
      <c r="L185" s="2"/>
      <c r="M185" s="2">
        <v>5</v>
      </c>
      <c r="N185" s="2" t="s">
        <v>22</v>
      </c>
    </row>
    <row r="186" spans="1:14" x14ac:dyDescent="0.3">
      <c r="A186" s="2" t="s">
        <v>438</v>
      </c>
      <c r="B186" s="2" t="s">
        <v>439</v>
      </c>
      <c r="C186" s="2" t="s">
        <v>179</v>
      </c>
      <c r="D186" s="2" t="s">
        <v>42</v>
      </c>
      <c r="E186" s="2" t="s">
        <v>80</v>
      </c>
      <c r="F186" s="2" t="s">
        <v>35</v>
      </c>
      <c r="G186" s="2" t="s">
        <v>44</v>
      </c>
      <c r="H186" s="2">
        <v>1673.22</v>
      </c>
      <c r="I186" s="2">
        <v>1350.21</v>
      </c>
      <c r="J186" s="2">
        <v>323.01</v>
      </c>
      <c r="K186" s="2" t="s">
        <v>56</v>
      </c>
      <c r="L186" s="2">
        <v>12</v>
      </c>
      <c r="M186" s="2">
        <v>3</v>
      </c>
      <c r="N186" s="2" t="s">
        <v>22</v>
      </c>
    </row>
    <row r="187" spans="1:14" x14ac:dyDescent="0.3">
      <c r="A187" s="2" t="s">
        <v>440</v>
      </c>
      <c r="B187" s="2" t="s">
        <v>441</v>
      </c>
      <c r="C187" s="2" t="s">
        <v>16</v>
      </c>
      <c r="D187" s="2" t="s">
        <v>42</v>
      </c>
      <c r="E187" s="2" t="s">
        <v>80</v>
      </c>
      <c r="F187" s="2" t="s">
        <v>27</v>
      </c>
      <c r="G187" s="2" t="s">
        <v>73</v>
      </c>
      <c r="H187" s="2">
        <v>2320.2600000000002</v>
      </c>
      <c r="I187" s="2">
        <v>1797.64</v>
      </c>
      <c r="J187" s="2">
        <v>522.62</v>
      </c>
      <c r="K187" s="2" t="s">
        <v>21</v>
      </c>
      <c r="L187" s="2"/>
      <c r="M187" s="2">
        <v>4</v>
      </c>
      <c r="N187" s="2" t="s">
        <v>22</v>
      </c>
    </row>
    <row r="188" spans="1:14" x14ac:dyDescent="0.3">
      <c r="A188" s="2" t="s">
        <v>442</v>
      </c>
      <c r="B188" s="2" t="s">
        <v>443</v>
      </c>
      <c r="C188" s="2" t="s">
        <v>64</v>
      </c>
      <c r="D188" s="2" t="s">
        <v>42</v>
      </c>
      <c r="E188" s="2" t="s">
        <v>262</v>
      </c>
      <c r="F188" s="2" t="s">
        <v>19</v>
      </c>
      <c r="G188" s="2" t="s">
        <v>20</v>
      </c>
      <c r="H188" s="2">
        <v>1597.87</v>
      </c>
      <c r="I188" s="2">
        <v>1367.98</v>
      </c>
      <c r="J188" s="2">
        <v>229.89</v>
      </c>
      <c r="K188" s="2" t="s">
        <v>56</v>
      </c>
      <c r="L188" s="2">
        <v>11</v>
      </c>
      <c r="M188" s="2">
        <v>2</v>
      </c>
      <c r="N188" s="2" t="s">
        <v>22</v>
      </c>
    </row>
    <row r="189" spans="1:14" x14ac:dyDescent="0.3">
      <c r="A189" s="2" t="s">
        <v>444</v>
      </c>
      <c r="B189" s="2" t="s">
        <v>445</v>
      </c>
      <c r="C189" s="2" t="s">
        <v>54</v>
      </c>
      <c r="D189" s="2" t="s">
        <v>17</v>
      </c>
      <c r="E189" s="2" t="s">
        <v>18</v>
      </c>
      <c r="F189" s="2" t="s">
        <v>40</v>
      </c>
      <c r="G189" s="2" t="s">
        <v>36</v>
      </c>
      <c r="H189" s="2">
        <v>3749.08</v>
      </c>
      <c r="I189" s="2">
        <v>2872.03</v>
      </c>
      <c r="J189" s="2">
        <v>877.05</v>
      </c>
      <c r="K189" s="2" t="s">
        <v>21</v>
      </c>
      <c r="L189" s="2"/>
      <c r="M189" s="2">
        <v>4</v>
      </c>
      <c r="N189" s="2" t="s">
        <v>22</v>
      </c>
    </row>
    <row r="190" spans="1:14" x14ac:dyDescent="0.3">
      <c r="A190" s="2" t="s">
        <v>446</v>
      </c>
      <c r="B190" s="2" t="s">
        <v>175</v>
      </c>
      <c r="C190" s="2" t="s">
        <v>104</v>
      </c>
      <c r="D190" s="2" t="s">
        <v>7</v>
      </c>
      <c r="E190" s="2" t="s">
        <v>131</v>
      </c>
      <c r="F190" s="2" t="s">
        <v>40</v>
      </c>
      <c r="G190" s="2" t="s">
        <v>44</v>
      </c>
      <c r="H190" s="2">
        <v>870.73</v>
      </c>
      <c r="I190" s="2">
        <v>555.72</v>
      </c>
      <c r="J190" s="2">
        <v>315.01</v>
      </c>
      <c r="K190" s="2" t="s">
        <v>21</v>
      </c>
      <c r="L190" s="2"/>
      <c r="M190" s="2">
        <v>5</v>
      </c>
      <c r="N190" s="2" t="s">
        <v>22</v>
      </c>
    </row>
    <row r="191" spans="1:14" x14ac:dyDescent="0.3">
      <c r="A191" s="2" t="s">
        <v>447</v>
      </c>
      <c r="B191" s="2" t="s">
        <v>448</v>
      </c>
      <c r="C191" s="2" t="s">
        <v>25</v>
      </c>
      <c r="D191" s="2" t="s">
        <v>33</v>
      </c>
      <c r="E191" s="2" t="s">
        <v>39</v>
      </c>
      <c r="F191" s="2" t="s">
        <v>84</v>
      </c>
      <c r="G191" s="2" t="s">
        <v>73</v>
      </c>
      <c r="H191" s="2">
        <v>1884.23</v>
      </c>
      <c r="I191" s="2">
        <v>1346.13</v>
      </c>
      <c r="J191" s="2">
        <v>538.1</v>
      </c>
      <c r="K191" s="2" t="s">
        <v>56</v>
      </c>
      <c r="L191" s="2">
        <v>1</v>
      </c>
      <c r="M191" s="2">
        <v>2</v>
      </c>
      <c r="N191" s="2" t="s">
        <v>29</v>
      </c>
    </row>
    <row r="192" spans="1:14" x14ac:dyDescent="0.3">
      <c r="A192" s="2" t="s">
        <v>449</v>
      </c>
      <c r="B192" s="2" t="s">
        <v>450</v>
      </c>
      <c r="C192" s="2" t="s">
        <v>115</v>
      </c>
      <c r="D192" s="2" t="s">
        <v>33</v>
      </c>
      <c r="E192" s="2" t="s">
        <v>297</v>
      </c>
      <c r="F192" s="2" t="s">
        <v>87</v>
      </c>
      <c r="G192" s="2" t="s">
        <v>44</v>
      </c>
      <c r="H192" s="2">
        <v>2422.33</v>
      </c>
      <c r="I192" s="2">
        <v>1654.97</v>
      </c>
      <c r="J192" s="2">
        <v>767.36</v>
      </c>
      <c r="K192" s="2" t="s">
        <v>21</v>
      </c>
      <c r="L192" s="2"/>
      <c r="M192" s="2">
        <v>5</v>
      </c>
      <c r="N192" s="2" t="s">
        <v>22</v>
      </c>
    </row>
    <row r="193" spans="1:14" x14ac:dyDescent="0.3">
      <c r="A193" s="2" t="s">
        <v>451</v>
      </c>
      <c r="B193" s="2" t="s">
        <v>452</v>
      </c>
      <c r="C193" s="2" t="s">
        <v>68</v>
      </c>
      <c r="D193" s="2" t="s">
        <v>7</v>
      </c>
      <c r="E193" s="2" t="s">
        <v>131</v>
      </c>
      <c r="F193" s="2" t="s">
        <v>19</v>
      </c>
      <c r="G193" s="2" t="s">
        <v>73</v>
      </c>
      <c r="H193" s="2">
        <v>506.66</v>
      </c>
      <c r="I193" s="2">
        <v>305.5</v>
      </c>
      <c r="J193" s="2">
        <v>201.16</v>
      </c>
      <c r="K193" s="2" t="s">
        <v>21</v>
      </c>
      <c r="L193" s="2"/>
      <c r="M193" s="2"/>
      <c r="N193" s="2" t="s">
        <v>22</v>
      </c>
    </row>
    <row r="194" spans="1:14" x14ac:dyDescent="0.3">
      <c r="A194" s="2" t="s">
        <v>453</v>
      </c>
      <c r="B194" s="2" t="s">
        <v>454</v>
      </c>
      <c r="C194" s="2" t="s">
        <v>104</v>
      </c>
      <c r="D194" s="2" t="s">
        <v>7</v>
      </c>
      <c r="E194" s="2" t="s">
        <v>55</v>
      </c>
      <c r="F194" s="2" t="s">
        <v>35</v>
      </c>
      <c r="G194" s="2" t="s">
        <v>28</v>
      </c>
      <c r="H194" s="2">
        <v>2748.73</v>
      </c>
      <c r="I194" s="2">
        <v>1669.93</v>
      </c>
      <c r="J194" s="2">
        <v>1078.8</v>
      </c>
      <c r="K194" s="2" t="s">
        <v>56</v>
      </c>
      <c r="L194" s="2">
        <v>7</v>
      </c>
      <c r="M194" s="2">
        <v>3</v>
      </c>
      <c r="N194" s="2" t="s">
        <v>22</v>
      </c>
    </row>
    <row r="195" spans="1:14" x14ac:dyDescent="0.3">
      <c r="A195" s="2" t="s">
        <v>455</v>
      </c>
      <c r="B195" s="2" t="s">
        <v>456</v>
      </c>
      <c r="C195" s="2" t="s">
        <v>16</v>
      </c>
      <c r="D195" s="2" t="s">
        <v>59</v>
      </c>
      <c r="E195" s="2" t="s">
        <v>308</v>
      </c>
      <c r="F195" s="2" t="s">
        <v>27</v>
      </c>
      <c r="G195" s="2" t="s">
        <v>73</v>
      </c>
      <c r="H195" s="2">
        <v>358.12</v>
      </c>
      <c r="I195" s="2">
        <v>207.55</v>
      </c>
      <c r="J195" s="2">
        <v>150.57</v>
      </c>
      <c r="K195" s="2" t="s">
        <v>56</v>
      </c>
      <c r="L195" s="2">
        <v>5</v>
      </c>
      <c r="M195" s="2">
        <v>3</v>
      </c>
      <c r="N195" s="2" t="s">
        <v>22</v>
      </c>
    </row>
    <row r="196" spans="1:14" x14ac:dyDescent="0.3">
      <c r="A196" s="2" t="s">
        <v>457</v>
      </c>
      <c r="B196" s="2" t="s">
        <v>458</v>
      </c>
      <c r="C196" s="2" t="s">
        <v>25</v>
      </c>
      <c r="D196" s="2" t="s">
        <v>42</v>
      </c>
      <c r="E196" s="2" t="s">
        <v>80</v>
      </c>
      <c r="F196" s="2" t="s">
        <v>84</v>
      </c>
      <c r="G196" s="2" t="s">
        <v>36</v>
      </c>
      <c r="H196" s="2">
        <v>3261.77</v>
      </c>
      <c r="I196" s="2">
        <v>2696.42</v>
      </c>
      <c r="J196" s="2">
        <v>565.35</v>
      </c>
      <c r="K196" s="2" t="s">
        <v>21</v>
      </c>
      <c r="L196" s="2"/>
      <c r="M196" s="2">
        <v>3</v>
      </c>
      <c r="N196" s="2" t="s">
        <v>22</v>
      </c>
    </row>
    <row r="197" spans="1:14" x14ac:dyDescent="0.3">
      <c r="A197" s="2" t="s">
        <v>459</v>
      </c>
      <c r="B197" s="2" t="s">
        <v>460</v>
      </c>
      <c r="C197" s="2" t="s">
        <v>16</v>
      </c>
      <c r="D197" s="2" t="s">
        <v>59</v>
      </c>
      <c r="E197" s="2" t="s">
        <v>108</v>
      </c>
      <c r="F197" s="2" t="s">
        <v>87</v>
      </c>
      <c r="G197" s="2" t="s">
        <v>73</v>
      </c>
      <c r="H197" s="2">
        <v>3336.42</v>
      </c>
      <c r="I197" s="2">
        <v>2120.0700000000002</v>
      </c>
      <c r="J197" s="2">
        <v>1216.3499999999999</v>
      </c>
      <c r="K197" s="2" t="s">
        <v>21</v>
      </c>
      <c r="L197" s="2"/>
      <c r="M197" s="2">
        <v>3</v>
      </c>
      <c r="N197" s="2" t="s">
        <v>22</v>
      </c>
    </row>
    <row r="198" spans="1:14" x14ac:dyDescent="0.3">
      <c r="A198" s="2" t="s">
        <v>461</v>
      </c>
      <c r="B198" s="2" t="s">
        <v>462</v>
      </c>
      <c r="C198" s="2" t="s">
        <v>25</v>
      </c>
      <c r="D198" s="2" t="s">
        <v>42</v>
      </c>
      <c r="E198" s="2" t="s">
        <v>43</v>
      </c>
      <c r="F198" s="2" t="s">
        <v>463</v>
      </c>
      <c r="G198" s="2" t="s">
        <v>36</v>
      </c>
      <c r="H198" s="2">
        <v>3438.26</v>
      </c>
      <c r="I198" s="2">
        <v>3045.46</v>
      </c>
      <c r="J198" s="2">
        <v>392.8</v>
      </c>
      <c r="K198" s="2" t="s">
        <v>21</v>
      </c>
      <c r="L198" s="2"/>
      <c r="M198" s="2">
        <v>5</v>
      </c>
      <c r="N198" s="2" t="s">
        <v>22</v>
      </c>
    </row>
    <row r="199" spans="1:14" x14ac:dyDescent="0.3">
      <c r="A199" s="2" t="s">
        <v>464</v>
      </c>
      <c r="B199" s="2" t="s">
        <v>465</v>
      </c>
      <c r="C199" s="2" t="s">
        <v>64</v>
      </c>
      <c r="D199" s="2" t="s">
        <v>393</v>
      </c>
      <c r="E199" s="2"/>
      <c r="F199" s="2" t="s">
        <v>40</v>
      </c>
      <c r="G199" s="2" t="s">
        <v>73</v>
      </c>
      <c r="H199" s="2">
        <v>1637.31</v>
      </c>
      <c r="I199" s="2">
        <v>1164.47</v>
      </c>
      <c r="J199" s="2">
        <v>472.84</v>
      </c>
      <c r="K199" s="2" t="s">
        <v>21</v>
      </c>
      <c r="L199" s="2"/>
      <c r="M199" s="2">
        <v>5</v>
      </c>
      <c r="N199" s="2" t="s">
        <v>29</v>
      </c>
    </row>
    <row r="200" spans="1:14" x14ac:dyDescent="0.3">
      <c r="A200" s="2" t="s">
        <v>466</v>
      </c>
      <c r="B200" s="2" t="s">
        <v>467</v>
      </c>
      <c r="C200" s="2" t="s">
        <v>64</v>
      </c>
      <c r="D200" s="2" t="s">
        <v>42</v>
      </c>
      <c r="E200" s="2" t="s">
        <v>83</v>
      </c>
      <c r="F200" s="2" t="s">
        <v>27</v>
      </c>
      <c r="G200" s="2" t="s">
        <v>44</v>
      </c>
      <c r="H200" s="2">
        <v>1970.62</v>
      </c>
      <c r="I200" s="2">
        <v>1460.49</v>
      </c>
      <c r="J200" s="2">
        <v>510.13</v>
      </c>
      <c r="K200" s="2" t="s">
        <v>21</v>
      </c>
      <c r="L200" s="2"/>
      <c r="M200" s="2">
        <v>2</v>
      </c>
      <c r="N200" s="2" t="s">
        <v>29</v>
      </c>
    </row>
    <row r="201" spans="1:14" x14ac:dyDescent="0.3">
      <c r="A201" s="2" t="s">
        <v>468</v>
      </c>
      <c r="B201" s="2" t="s">
        <v>374</v>
      </c>
      <c r="C201" s="2" t="s">
        <v>124</v>
      </c>
      <c r="D201" s="2" t="s">
        <v>17</v>
      </c>
      <c r="E201" s="2" t="s">
        <v>469</v>
      </c>
      <c r="F201" s="2" t="s">
        <v>27</v>
      </c>
      <c r="G201" s="2" t="s">
        <v>20</v>
      </c>
      <c r="H201" s="2">
        <v>2609.83</v>
      </c>
      <c r="I201" s="2">
        <v>1627.14</v>
      </c>
      <c r="J201" s="2">
        <v>982.69</v>
      </c>
      <c r="K201" s="2" t="s">
        <v>21</v>
      </c>
      <c r="L201" s="2"/>
      <c r="M201" s="2">
        <v>5</v>
      </c>
      <c r="N201" s="2" t="s">
        <v>22</v>
      </c>
    </row>
    <row r="202" spans="1:14" x14ac:dyDescent="0.3">
      <c r="A202" s="2" t="s">
        <v>470</v>
      </c>
      <c r="B202" s="2" t="s">
        <v>471</v>
      </c>
      <c r="C202" s="2" t="s">
        <v>25</v>
      </c>
      <c r="D202" s="2" t="s">
        <v>42</v>
      </c>
      <c r="E202" s="2" t="s">
        <v>214</v>
      </c>
      <c r="F202" s="2" t="s">
        <v>19</v>
      </c>
      <c r="G202" s="2" t="s">
        <v>36</v>
      </c>
      <c r="H202" s="2">
        <v>1518.77</v>
      </c>
      <c r="I202" s="2">
        <v>1386.85</v>
      </c>
      <c r="J202" s="2">
        <v>131.91999999999999</v>
      </c>
      <c r="K202" s="2" t="s">
        <v>21</v>
      </c>
      <c r="L202" s="2"/>
      <c r="M202" s="2">
        <v>5</v>
      </c>
      <c r="N202" s="2" t="s">
        <v>29</v>
      </c>
    </row>
    <row r="203" spans="1:14" x14ac:dyDescent="0.3">
      <c r="A203" s="2" t="s">
        <v>472</v>
      </c>
      <c r="B203" s="2" t="s">
        <v>473</v>
      </c>
      <c r="C203" s="2" t="s">
        <v>115</v>
      </c>
      <c r="D203" s="2" t="s">
        <v>7</v>
      </c>
      <c r="E203" s="2" t="s">
        <v>128</v>
      </c>
      <c r="F203" s="2" t="s">
        <v>35</v>
      </c>
      <c r="G203" s="2" t="s">
        <v>36</v>
      </c>
      <c r="H203" s="2">
        <v>2892.63</v>
      </c>
      <c r="I203" s="2">
        <v>2141.69</v>
      </c>
      <c r="J203" s="2">
        <v>750.94</v>
      </c>
      <c r="K203" s="2" t="s">
        <v>338</v>
      </c>
      <c r="L203" s="2"/>
      <c r="M203" s="2">
        <v>4</v>
      </c>
      <c r="N203" s="2" t="s">
        <v>22</v>
      </c>
    </row>
    <row r="204" spans="1:14" x14ac:dyDescent="0.3">
      <c r="A204" s="2" t="s">
        <v>474</v>
      </c>
      <c r="B204" s="2" t="s">
        <v>475</v>
      </c>
      <c r="C204" s="2" t="s">
        <v>115</v>
      </c>
      <c r="D204" s="2" t="s">
        <v>42</v>
      </c>
      <c r="E204" s="2"/>
      <c r="F204" s="2" t="s">
        <v>19</v>
      </c>
      <c r="G204" s="2" t="s">
        <v>36</v>
      </c>
      <c r="H204" s="2">
        <v>1368.01</v>
      </c>
      <c r="I204" s="2">
        <v>1196.8499999999999</v>
      </c>
      <c r="J204" s="2">
        <v>171.16</v>
      </c>
      <c r="K204" s="2" t="s">
        <v>21</v>
      </c>
      <c r="L204" s="2"/>
      <c r="M204" s="2">
        <v>4</v>
      </c>
      <c r="N204" s="2" t="s">
        <v>22</v>
      </c>
    </row>
    <row r="205" spans="1:14" x14ac:dyDescent="0.3">
      <c r="A205" s="2" t="s">
        <v>476</v>
      </c>
      <c r="B205" s="2" t="s">
        <v>477</v>
      </c>
      <c r="C205" s="2" t="s">
        <v>64</v>
      </c>
      <c r="D205" s="2" t="s">
        <v>17</v>
      </c>
      <c r="E205" s="2" t="s">
        <v>18</v>
      </c>
      <c r="F205" s="2" t="s">
        <v>84</v>
      </c>
      <c r="G205" s="2" t="s">
        <v>36</v>
      </c>
      <c r="H205" s="2">
        <v>4003.73</v>
      </c>
      <c r="I205" s="2">
        <v>2886.04</v>
      </c>
      <c r="J205" s="2">
        <v>1117.69</v>
      </c>
      <c r="K205" s="2" t="s">
        <v>21</v>
      </c>
      <c r="L205" s="2"/>
      <c r="M205" s="2">
        <v>5</v>
      </c>
      <c r="N205" s="2" t="s">
        <v>22</v>
      </c>
    </row>
    <row r="206" spans="1:14" x14ac:dyDescent="0.3">
      <c r="A206" s="2" t="s">
        <v>478</v>
      </c>
      <c r="B206" s="2" t="s">
        <v>479</v>
      </c>
      <c r="C206" s="2" t="s">
        <v>32</v>
      </c>
      <c r="D206" s="2" t="s">
        <v>244</v>
      </c>
      <c r="E206" s="2" t="s">
        <v>155</v>
      </c>
      <c r="F206" s="2" t="s">
        <v>480</v>
      </c>
      <c r="G206" s="2" t="s">
        <v>20</v>
      </c>
      <c r="H206" s="2">
        <v>1978.53</v>
      </c>
      <c r="I206" s="2">
        <v>1274.1600000000001</v>
      </c>
      <c r="J206" s="2">
        <v>704.37</v>
      </c>
      <c r="K206" s="2" t="s">
        <v>56</v>
      </c>
      <c r="L206" s="2">
        <v>9</v>
      </c>
      <c r="M206" s="2">
        <v>2</v>
      </c>
      <c r="N206" s="2" t="s">
        <v>22</v>
      </c>
    </row>
    <row r="207" spans="1:14" x14ac:dyDescent="0.3">
      <c r="A207" s="2" t="s">
        <v>481</v>
      </c>
      <c r="B207" s="2" t="s">
        <v>482</v>
      </c>
      <c r="C207" s="2" t="s">
        <v>64</v>
      </c>
      <c r="D207" s="2" t="s">
        <v>7</v>
      </c>
      <c r="E207" s="2" t="s">
        <v>65</v>
      </c>
      <c r="F207" s="2" t="s">
        <v>87</v>
      </c>
      <c r="G207" s="2" t="s">
        <v>44</v>
      </c>
      <c r="H207" s="2">
        <v>701.6</v>
      </c>
      <c r="I207" s="2">
        <v>442.47</v>
      </c>
      <c r="J207" s="2">
        <v>259.13</v>
      </c>
      <c r="K207" s="2" t="s">
        <v>21</v>
      </c>
      <c r="L207" s="2"/>
      <c r="M207" s="2">
        <v>5</v>
      </c>
      <c r="N207" s="2" t="s">
        <v>22</v>
      </c>
    </row>
    <row r="208" spans="1:14" x14ac:dyDescent="0.3">
      <c r="A208" s="2" t="s">
        <v>483</v>
      </c>
      <c r="B208" s="2" t="s">
        <v>484</v>
      </c>
      <c r="C208" s="2" t="s">
        <v>104</v>
      </c>
      <c r="D208" s="2" t="s">
        <v>17</v>
      </c>
      <c r="E208" s="2" t="s">
        <v>469</v>
      </c>
      <c r="F208" s="2" t="s">
        <v>35</v>
      </c>
      <c r="G208" s="2" t="s">
        <v>44</v>
      </c>
      <c r="H208" s="2">
        <v>2446.79</v>
      </c>
      <c r="I208" s="2">
        <v>1582.32</v>
      </c>
      <c r="J208" s="2">
        <v>864.47</v>
      </c>
      <c r="K208" s="2" t="s">
        <v>21</v>
      </c>
      <c r="L208" s="2"/>
      <c r="M208" s="2">
        <v>4</v>
      </c>
      <c r="N208" s="2" t="s">
        <v>22</v>
      </c>
    </row>
    <row r="209" spans="1:14" x14ac:dyDescent="0.3">
      <c r="A209" s="2" t="s">
        <v>485</v>
      </c>
      <c r="B209" s="2" t="s">
        <v>486</v>
      </c>
      <c r="C209" s="2" t="s">
        <v>115</v>
      </c>
      <c r="D209" s="2" t="s">
        <v>7</v>
      </c>
      <c r="E209" s="2" t="s">
        <v>185</v>
      </c>
      <c r="F209" s="2" t="s">
        <v>35</v>
      </c>
      <c r="G209" s="2" t="s">
        <v>73</v>
      </c>
      <c r="H209" s="2">
        <v>3467.62</v>
      </c>
      <c r="I209" s="2">
        <v>2014.22</v>
      </c>
      <c r="J209" s="2">
        <v>1453.4</v>
      </c>
      <c r="K209" s="2" t="s">
        <v>21</v>
      </c>
      <c r="L209" s="2"/>
      <c r="M209" s="2">
        <v>4</v>
      </c>
      <c r="N209" s="2" t="s">
        <v>22</v>
      </c>
    </row>
    <row r="210" spans="1:14" x14ac:dyDescent="0.3">
      <c r="A210" s="2" t="s">
        <v>487</v>
      </c>
      <c r="B210" s="2" t="s">
        <v>121</v>
      </c>
      <c r="C210" s="2" t="s">
        <v>54</v>
      </c>
      <c r="D210" s="2" t="s">
        <v>17</v>
      </c>
      <c r="E210" s="2" t="s">
        <v>18</v>
      </c>
      <c r="F210" s="2" t="s">
        <v>40</v>
      </c>
      <c r="G210" s="2" t="s">
        <v>44</v>
      </c>
      <c r="H210" s="2">
        <v>1065.1099999999999</v>
      </c>
      <c r="I210" s="2">
        <v>786.83</v>
      </c>
      <c r="J210" s="2">
        <v>278.27999999999997</v>
      </c>
      <c r="K210" s="2" t="s">
        <v>21</v>
      </c>
      <c r="L210" s="2"/>
      <c r="M210" s="2">
        <v>5</v>
      </c>
      <c r="N210" s="2" t="s">
        <v>22</v>
      </c>
    </row>
    <row r="211" spans="1:14" x14ac:dyDescent="0.3">
      <c r="A211" s="2" t="s">
        <v>488</v>
      </c>
      <c r="B211" s="2" t="s">
        <v>489</v>
      </c>
      <c r="C211" s="2" t="s">
        <v>64</v>
      </c>
      <c r="D211" s="2" t="s">
        <v>59</v>
      </c>
      <c r="E211" s="2" t="s">
        <v>490</v>
      </c>
      <c r="F211" s="2" t="s">
        <v>40</v>
      </c>
      <c r="G211" s="2" t="s">
        <v>44</v>
      </c>
      <c r="H211" s="2">
        <v>167.28</v>
      </c>
      <c r="I211" s="2">
        <v>100.14</v>
      </c>
      <c r="J211" s="2">
        <v>67.14</v>
      </c>
      <c r="K211" s="2" t="s">
        <v>21</v>
      </c>
      <c r="L211" s="2"/>
      <c r="M211" s="2">
        <v>5</v>
      </c>
      <c r="N211" s="2" t="s">
        <v>22</v>
      </c>
    </row>
    <row r="212" spans="1:14" x14ac:dyDescent="0.3">
      <c r="A212" s="2" t="s">
        <v>491</v>
      </c>
      <c r="B212" s="2" t="s">
        <v>492</v>
      </c>
      <c r="C212" s="2" t="s">
        <v>68</v>
      </c>
      <c r="D212" s="2" t="s">
        <v>59</v>
      </c>
      <c r="E212" s="2" t="s">
        <v>301</v>
      </c>
      <c r="F212" s="2" t="s">
        <v>27</v>
      </c>
      <c r="G212" s="2" t="s">
        <v>44</v>
      </c>
      <c r="H212" s="2">
        <v>3110.83</v>
      </c>
      <c r="I212" s="2">
        <v>2123.81</v>
      </c>
      <c r="J212" s="2">
        <v>987.02</v>
      </c>
      <c r="K212" s="2" t="s">
        <v>21</v>
      </c>
      <c r="L212" s="2"/>
      <c r="M212" s="2">
        <v>5</v>
      </c>
      <c r="N212" s="2" t="s">
        <v>22</v>
      </c>
    </row>
    <row r="213" spans="1:14" x14ac:dyDescent="0.3">
      <c r="A213" s="2" t="s">
        <v>493</v>
      </c>
      <c r="B213" s="2" t="s">
        <v>494</v>
      </c>
      <c r="C213" s="2" t="s">
        <v>115</v>
      </c>
      <c r="D213" s="2" t="s">
        <v>42</v>
      </c>
      <c r="E213" s="2" t="s">
        <v>162</v>
      </c>
      <c r="F213" s="2" t="s">
        <v>315</v>
      </c>
      <c r="G213" s="2" t="s">
        <v>20</v>
      </c>
      <c r="H213" s="2">
        <v>2378.84</v>
      </c>
      <c r="I213" s="2">
        <v>2067.58</v>
      </c>
      <c r="J213" s="2">
        <v>311.26</v>
      </c>
      <c r="K213" s="2" t="s">
        <v>21</v>
      </c>
      <c r="L213" s="2"/>
      <c r="M213" s="2">
        <v>3</v>
      </c>
      <c r="N213" s="2" t="s">
        <v>22</v>
      </c>
    </row>
    <row r="214" spans="1:14" x14ac:dyDescent="0.3">
      <c r="A214" s="2" t="s">
        <v>495</v>
      </c>
      <c r="B214" s="2" t="s">
        <v>157</v>
      </c>
      <c r="C214" s="2" t="s">
        <v>54</v>
      </c>
      <c r="D214" s="2" t="s">
        <v>17</v>
      </c>
      <c r="E214" s="2" t="s">
        <v>469</v>
      </c>
      <c r="F214" s="2" t="s">
        <v>84</v>
      </c>
      <c r="G214" s="2" t="s">
        <v>20</v>
      </c>
      <c r="H214" s="2">
        <v>1198.29</v>
      </c>
      <c r="I214" s="2">
        <v>672.75</v>
      </c>
      <c r="J214" s="2">
        <v>525.54</v>
      </c>
      <c r="K214" s="2" t="s">
        <v>90</v>
      </c>
      <c r="L214" s="2"/>
      <c r="M214" s="2"/>
      <c r="N214" s="2" t="s">
        <v>22</v>
      </c>
    </row>
    <row r="215" spans="1:14" x14ac:dyDescent="0.3">
      <c r="A215" s="2" t="s">
        <v>496</v>
      </c>
      <c r="B215" s="2" t="s">
        <v>497</v>
      </c>
      <c r="C215" s="2" t="s">
        <v>32</v>
      </c>
      <c r="D215" s="2" t="s">
        <v>42</v>
      </c>
      <c r="E215" s="2" t="s">
        <v>80</v>
      </c>
      <c r="F215" s="2" t="s">
        <v>498</v>
      </c>
      <c r="G215" s="2" t="s">
        <v>28</v>
      </c>
      <c r="H215" s="2">
        <v>3143.5</v>
      </c>
      <c r="I215" s="2">
        <v>2681.36</v>
      </c>
      <c r="J215" s="2">
        <v>462.14</v>
      </c>
      <c r="K215" s="2" t="s">
        <v>21</v>
      </c>
      <c r="L215" s="2"/>
      <c r="M215" s="2">
        <v>4</v>
      </c>
      <c r="N215" s="2" t="s">
        <v>22</v>
      </c>
    </row>
    <row r="216" spans="1:14" x14ac:dyDescent="0.3">
      <c r="A216" s="2" t="s">
        <v>499</v>
      </c>
      <c r="B216" s="2" t="s">
        <v>184</v>
      </c>
      <c r="C216" s="2" t="s">
        <v>179</v>
      </c>
      <c r="D216" s="2" t="s">
        <v>59</v>
      </c>
      <c r="E216" s="2" t="s">
        <v>60</v>
      </c>
      <c r="F216" s="2" t="s">
        <v>35</v>
      </c>
      <c r="G216" s="2" t="s">
        <v>20</v>
      </c>
      <c r="H216" s="2">
        <v>1437.37</v>
      </c>
      <c r="I216" s="2">
        <v>976.51</v>
      </c>
      <c r="J216" s="2">
        <v>460.86</v>
      </c>
      <c r="K216" s="2" t="s">
        <v>101</v>
      </c>
      <c r="L216" s="2"/>
      <c r="M216" s="2">
        <v>4</v>
      </c>
      <c r="N216" s="2" t="s">
        <v>22</v>
      </c>
    </row>
    <row r="217" spans="1:14" x14ac:dyDescent="0.3">
      <c r="A217" s="2" t="s">
        <v>500</v>
      </c>
      <c r="B217" s="2" t="s">
        <v>305</v>
      </c>
      <c r="C217" s="2" t="s">
        <v>111</v>
      </c>
      <c r="D217" s="2" t="s">
        <v>33</v>
      </c>
      <c r="E217" s="2" t="s">
        <v>205</v>
      </c>
      <c r="F217" s="2" t="s">
        <v>87</v>
      </c>
      <c r="G217" s="2" t="s">
        <v>28</v>
      </c>
      <c r="H217" s="2">
        <v>1293.21</v>
      </c>
      <c r="I217" s="2">
        <v>742.74</v>
      </c>
      <c r="J217" s="2">
        <v>550.47</v>
      </c>
      <c r="K217" s="2" t="s">
        <v>21</v>
      </c>
      <c r="L217" s="2"/>
      <c r="M217" s="2">
        <v>2</v>
      </c>
      <c r="N217" s="2" t="s">
        <v>29</v>
      </c>
    </row>
    <row r="218" spans="1:14" x14ac:dyDescent="0.3">
      <c r="A218" s="2" t="s">
        <v>501</v>
      </c>
      <c r="B218" s="2" t="s">
        <v>75</v>
      </c>
      <c r="C218" s="2" t="s">
        <v>76</v>
      </c>
      <c r="D218" s="2" t="s">
        <v>7</v>
      </c>
      <c r="E218" s="2" t="s">
        <v>55</v>
      </c>
      <c r="F218" s="2" t="s">
        <v>19</v>
      </c>
      <c r="G218" s="2" t="s">
        <v>28</v>
      </c>
      <c r="H218" s="2">
        <v>3347.31</v>
      </c>
      <c r="I218" s="2">
        <v>1956.23</v>
      </c>
      <c r="J218" s="2">
        <v>1391.08</v>
      </c>
      <c r="K218" s="2" t="s">
        <v>21</v>
      </c>
      <c r="L218" s="2"/>
      <c r="M218" s="2">
        <v>5</v>
      </c>
      <c r="N218" s="2" t="s">
        <v>29</v>
      </c>
    </row>
    <row r="219" spans="1:14" x14ac:dyDescent="0.3">
      <c r="A219" s="2" t="s">
        <v>502</v>
      </c>
      <c r="B219" s="2" t="s">
        <v>503</v>
      </c>
      <c r="C219" s="2" t="s">
        <v>76</v>
      </c>
      <c r="D219" s="2" t="s">
        <v>42</v>
      </c>
      <c r="E219" s="2" t="s">
        <v>214</v>
      </c>
      <c r="F219" s="2" t="s">
        <v>84</v>
      </c>
      <c r="G219" s="2" t="s">
        <v>44</v>
      </c>
      <c r="H219" s="2">
        <v>3376.18</v>
      </c>
      <c r="I219" s="2">
        <v>2651.85</v>
      </c>
      <c r="J219" s="2">
        <v>724.33</v>
      </c>
      <c r="K219" s="2" t="s">
        <v>21</v>
      </c>
      <c r="L219" s="2"/>
      <c r="M219" s="2">
        <v>2</v>
      </c>
      <c r="N219" s="2" t="s">
        <v>22</v>
      </c>
    </row>
    <row r="220" spans="1:14" x14ac:dyDescent="0.3">
      <c r="A220" s="2" t="s">
        <v>504</v>
      </c>
      <c r="B220" s="2" t="s">
        <v>479</v>
      </c>
      <c r="C220" s="2" t="s">
        <v>32</v>
      </c>
      <c r="D220" s="2" t="s">
        <v>7</v>
      </c>
      <c r="E220" s="2" t="s">
        <v>65</v>
      </c>
      <c r="F220" s="2" t="s">
        <v>27</v>
      </c>
      <c r="G220" s="2" t="s">
        <v>28</v>
      </c>
      <c r="H220" s="2">
        <v>1426.87</v>
      </c>
      <c r="I220" s="2">
        <v>1050.8699999999999</v>
      </c>
      <c r="J220" s="2">
        <v>376</v>
      </c>
      <c r="K220" s="2" t="s">
        <v>229</v>
      </c>
      <c r="L220" s="2"/>
      <c r="M220" s="2">
        <v>5</v>
      </c>
      <c r="N220" s="2" t="s">
        <v>29</v>
      </c>
    </row>
    <row r="221" spans="1:14" x14ac:dyDescent="0.3">
      <c r="A221" s="2" t="s">
        <v>505</v>
      </c>
      <c r="B221" s="2" t="s">
        <v>506</v>
      </c>
      <c r="C221" s="2" t="s">
        <v>104</v>
      </c>
      <c r="D221" s="2" t="s">
        <v>7</v>
      </c>
      <c r="E221" s="2" t="s">
        <v>131</v>
      </c>
      <c r="F221" s="2" t="s">
        <v>35</v>
      </c>
      <c r="G221" s="2" t="s">
        <v>97</v>
      </c>
      <c r="H221" s="2">
        <v>1576.1</v>
      </c>
      <c r="I221" s="2">
        <v>1132.82</v>
      </c>
      <c r="J221" s="2">
        <v>443.28</v>
      </c>
      <c r="K221" s="2" t="s">
        <v>21</v>
      </c>
      <c r="L221" s="2"/>
      <c r="M221" s="2">
        <v>4</v>
      </c>
      <c r="N221" s="2" t="s">
        <v>29</v>
      </c>
    </row>
    <row r="222" spans="1:14" x14ac:dyDescent="0.3">
      <c r="A222" s="2" t="s">
        <v>507</v>
      </c>
      <c r="B222" s="2" t="s">
        <v>293</v>
      </c>
      <c r="C222" s="2" t="s">
        <v>76</v>
      </c>
      <c r="D222" s="2" t="s">
        <v>33</v>
      </c>
      <c r="E222" s="2" t="s">
        <v>297</v>
      </c>
      <c r="F222" s="2"/>
      <c r="G222" s="2" t="s">
        <v>28</v>
      </c>
      <c r="H222" s="2">
        <v>817.51</v>
      </c>
      <c r="I222" s="2">
        <v>619.73</v>
      </c>
      <c r="J222" s="2">
        <v>197.78</v>
      </c>
      <c r="K222" s="2" t="s">
        <v>338</v>
      </c>
      <c r="L222" s="2"/>
      <c r="M222" s="2">
        <v>5</v>
      </c>
      <c r="N222" s="2" t="s">
        <v>22</v>
      </c>
    </row>
    <row r="223" spans="1:14" x14ac:dyDescent="0.3">
      <c r="A223" s="2" t="s">
        <v>508</v>
      </c>
      <c r="B223" s="2" t="s">
        <v>509</v>
      </c>
      <c r="C223" s="2" t="s">
        <v>124</v>
      </c>
      <c r="D223" s="2" t="s">
        <v>17</v>
      </c>
      <c r="E223" s="2" t="s">
        <v>96</v>
      </c>
      <c r="F223" s="2" t="s">
        <v>40</v>
      </c>
      <c r="G223" s="2" t="s">
        <v>73</v>
      </c>
      <c r="H223" s="2">
        <v>3141.66</v>
      </c>
      <c r="I223" s="2">
        <v>2450.65</v>
      </c>
      <c r="J223" s="2">
        <v>691.01</v>
      </c>
      <c r="K223" s="2" t="s">
        <v>56</v>
      </c>
      <c r="L223" s="2">
        <v>6</v>
      </c>
      <c r="M223" s="2">
        <v>4</v>
      </c>
      <c r="N223" s="2" t="s">
        <v>29</v>
      </c>
    </row>
    <row r="224" spans="1:14" x14ac:dyDescent="0.3">
      <c r="A224" s="2" t="s">
        <v>510</v>
      </c>
      <c r="B224" s="2" t="s">
        <v>511</v>
      </c>
      <c r="C224" s="2" t="s">
        <v>179</v>
      </c>
      <c r="D224" s="2" t="s">
        <v>59</v>
      </c>
      <c r="E224" s="2" t="s">
        <v>60</v>
      </c>
      <c r="F224" s="2" t="s">
        <v>35</v>
      </c>
      <c r="G224" s="2" t="s">
        <v>73</v>
      </c>
      <c r="H224" s="2">
        <v>643.67999999999995</v>
      </c>
      <c r="I224" s="2">
        <v>393.84</v>
      </c>
      <c r="J224" s="2">
        <v>249.84</v>
      </c>
      <c r="K224" s="2" t="s">
        <v>56</v>
      </c>
      <c r="L224" s="2">
        <v>11</v>
      </c>
      <c r="M224" s="2">
        <v>3</v>
      </c>
      <c r="N224" s="2" t="s">
        <v>22</v>
      </c>
    </row>
    <row r="225" spans="1:14" x14ac:dyDescent="0.3">
      <c r="A225" s="2" t="s">
        <v>512</v>
      </c>
      <c r="B225" s="2" t="s">
        <v>513</v>
      </c>
      <c r="C225" s="2" t="s">
        <v>179</v>
      </c>
      <c r="D225" s="2" t="s">
        <v>42</v>
      </c>
      <c r="E225" s="2" t="s">
        <v>162</v>
      </c>
      <c r="F225" s="2" t="s">
        <v>27</v>
      </c>
      <c r="G225" s="2" t="s">
        <v>73</v>
      </c>
      <c r="H225" s="2">
        <v>2320.0300000000002</v>
      </c>
      <c r="I225" s="2">
        <v>1885.06</v>
      </c>
      <c r="J225" s="2">
        <v>434.97</v>
      </c>
      <c r="K225" s="2" t="s">
        <v>21</v>
      </c>
      <c r="L225" s="2"/>
      <c r="M225" s="2">
        <v>5</v>
      </c>
      <c r="N225" s="2" t="s">
        <v>22</v>
      </c>
    </row>
    <row r="226" spans="1:14" x14ac:dyDescent="0.3">
      <c r="A226" s="2" t="s">
        <v>514</v>
      </c>
      <c r="B226" s="2" t="s">
        <v>515</v>
      </c>
      <c r="C226" s="2" t="s">
        <v>124</v>
      </c>
      <c r="D226" s="2" t="s">
        <v>42</v>
      </c>
      <c r="E226" s="2" t="s">
        <v>43</v>
      </c>
      <c r="F226" s="2" t="s">
        <v>27</v>
      </c>
      <c r="G226" s="2" t="s">
        <v>20</v>
      </c>
      <c r="H226" s="2">
        <v>1099.6500000000001</v>
      </c>
      <c r="I226" s="2">
        <v>955.98</v>
      </c>
      <c r="J226" s="2">
        <v>143.66999999999999</v>
      </c>
      <c r="K226" s="2" t="s">
        <v>56</v>
      </c>
      <c r="L226" s="2">
        <v>13</v>
      </c>
      <c r="M226" s="2">
        <v>3</v>
      </c>
      <c r="N226" s="2" t="s">
        <v>22</v>
      </c>
    </row>
    <row r="227" spans="1:14" x14ac:dyDescent="0.3">
      <c r="A227" s="2" t="s">
        <v>516</v>
      </c>
      <c r="B227" s="2" t="s">
        <v>517</v>
      </c>
      <c r="C227" s="2" t="s">
        <v>32</v>
      </c>
      <c r="D227" s="2" t="s">
        <v>33</v>
      </c>
      <c r="E227" s="2" t="s">
        <v>34</v>
      </c>
      <c r="F227" s="2" t="s">
        <v>19</v>
      </c>
      <c r="G227" s="2" t="s">
        <v>20</v>
      </c>
      <c r="H227" s="2">
        <v>2300.9499999999998</v>
      </c>
      <c r="I227" s="2">
        <v>1626.18</v>
      </c>
      <c r="J227" s="2">
        <v>674.77</v>
      </c>
      <c r="K227" s="2" t="s">
        <v>21</v>
      </c>
      <c r="L227" s="2"/>
      <c r="M227" s="2">
        <v>4</v>
      </c>
      <c r="N227" s="2" t="s">
        <v>29</v>
      </c>
    </row>
    <row r="228" spans="1:14" x14ac:dyDescent="0.3">
      <c r="A228" s="2" t="s">
        <v>518</v>
      </c>
      <c r="B228" s="2" t="s">
        <v>519</v>
      </c>
      <c r="C228" s="2" t="s">
        <v>68</v>
      </c>
      <c r="D228" s="2" t="s">
        <v>59</v>
      </c>
      <c r="E228" s="2" t="s">
        <v>60</v>
      </c>
      <c r="F228" s="2" t="s">
        <v>27</v>
      </c>
      <c r="G228" s="2" t="s">
        <v>28</v>
      </c>
      <c r="H228" s="2">
        <v>244.49</v>
      </c>
      <c r="I228" s="2">
        <v>177.29</v>
      </c>
      <c r="J228" s="2">
        <v>67.2</v>
      </c>
      <c r="K228" s="2" t="s">
        <v>21</v>
      </c>
      <c r="L228" s="2"/>
      <c r="M228" s="2">
        <v>5</v>
      </c>
      <c r="N228" s="2" t="s">
        <v>22</v>
      </c>
    </row>
    <row r="229" spans="1:14" x14ac:dyDescent="0.3">
      <c r="A229" s="2" t="s">
        <v>258</v>
      </c>
      <c r="B229" s="2" t="s">
        <v>259</v>
      </c>
      <c r="C229" s="2" t="s">
        <v>68</v>
      </c>
      <c r="D229" s="2" t="s">
        <v>33</v>
      </c>
      <c r="E229" s="2" t="s">
        <v>93</v>
      </c>
      <c r="F229" s="2" t="s">
        <v>40</v>
      </c>
      <c r="G229" s="2" t="s">
        <v>20</v>
      </c>
      <c r="H229" s="2">
        <v>1821.07</v>
      </c>
      <c r="I229" s="2">
        <v>1194.3599999999999</v>
      </c>
      <c r="J229" s="2">
        <v>626.71</v>
      </c>
      <c r="K229" s="2" t="s">
        <v>21</v>
      </c>
      <c r="L229" s="2"/>
      <c r="M229" s="2">
        <v>5</v>
      </c>
      <c r="N229" s="2" t="s">
        <v>22</v>
      </c>
    </row>
    <row r="230" spans="1:14" x14ac:dyDescent="0.3">
      <c r="A230" s="2" t="s">
        <v>520</v>
      </c>
      <c r="B230" s="2" t="s">
        <v>360</v>
      </c>
      <c r="C230" s="2" t="s">
        <v>32</v>
      </c>
      <c r="D230" s="2" t="s">
        <v>33</v>
      </c>
      <c r="E230" s="2"/>
      <c r="F230" s="2" t="s">
        <v>87</v>
      </c>
      <c r="G230" s="2" t="s">
        <v>28</v>
      </c>
      <c r="H230" s="2">
        <v>1682.25</v>
      </c>
      <c r="I230" s="2">
        <v>1173.08</v>
      </c>
      <c r="J230" s="2">
        <v>509.17</v>
      </c>
      <c r="K230" s="2" t="s">
        <v>229</v>
      </c>
      <c r="L230" s="2"/>
      <c r="M230" s="2">
        <v>4</v>
      </c>
      <c r="N230" s="2" t="s">
        <v>22</v>
      </c>
    </row>
    <row r="231" spans="1:14" x14ac:dyDescent="0.3">
      <c r="A231" s="2" t="s">
        <v>521</v>
      </c>
      <c r="B231" s="2" t="s">
        <v>522</v>
      </c>
      <c r="C231" s="2" t="s">
        <v>115</v>
      </c>
      <c r="D231" s="2" t="s">
        <v>42</v>
      </c>
      <c r="E231" s="2" t="s">
        <v>262</v>
      </c>
      <c r="F231" s="2" t="s">
        <v>35</v>
      </c>
      <c r="G231" s="2" t="s">
        <v>20</v>
      </c>
      <c r="H231" s="2">
        <v>850.95</v>
      </c>
      <c r="I231" s="2">
        <v>610.91</v>
      </c>
      <c r="J231" s="2">
        <v>240.04</v>
      </c>
      <c r="K231" s="2" t="s">
        <v>21</v>
      </c>
      <c r="L231" s="2"/>
      <c r="M231" s="2">
        <v>3</v>
      </c>
      <c r="N231" s="2" t="s">
        <v>29</v>
      </c>
    </row>
    <row r="232" spans="1:14" x14ac:dyDescent="0.3">
      <c r="A232" s="2" t="s">
        <v>523</v>
      </c>
      <c r="B232" s="2" t="s">
        <v>524</v>
      </c>
      <c r="C232" s="2" t="s">
        <v>32</v>
      </c>
      <c r="D232" s="2" t="s">
        <v>59</v>
      </c>
      <c r="E232" s="2" t="s">
        <v>301</v>
      </c>
      <c r="F232" s="2" t="s">
        <v>84</v>
      </c>
      <c r="G232" s="2" t="s">
        <v>20</v>
      </c>
      <c r="H232" s="2">
        <v>2653.37</v>
      </c>
      <c r="I232" s="2">
        <v>1601.85</v>
      </c>
      <c r="J232" s="2">
        <v>1051.52</v>
      </c>
      <c r="K232" s="2" t="s">
        <v>21</v>
      </c>
      <c r="L232" s="2"/>
      <c r="M232" s="2">
        <v>4</v>
      </c>
      <c r="N232" s="2" t="s">
        <v>22</v>
      </c>
    </row>
    <row r="233" spans="1:14" x14ac:dyDescent="0.3">
      <c r="A233" s="2" t="s">
        <v>525</v>
      </c>
      <c r="B233" s="2" t="s">
        <v>526</v>
      </c>
      <c r="C233" s="2" t="s">
        <v>54</v>
      </c>
      <c r="D233" s="2" t="s">
        <v>17</v>
      </c>
      <c r="E233" s="2" t="s">
        <v>100</v>
      </c>
      <c r="F233" s="2" t="s">
        <v>40</v>
      </c>
      <c r="G233" s="2" t="s">
        <v>44</v>
      </c>
      <c r="H233" s="2">
        <v>2775.48</v>
      </c>
      <c r="I233" s="2">
        <v>2125.0300000000002</v>
      </c>
      <c r="J233" s="2">
        <v>650.45000000000005</v>
      </c>
      <c r="K233" s="2" t="s">
        <v>56</v>
      </c>
      <c r="L233" s="2">
        <v>7</v>
      </c>
      <c r="M233" s="2">
        <v>3</v>
      </c>
      <c r="N233" s="2" t="s">
        <v>22</v>
      </c>
    </row>
    <row r="234" spans="1:14" x14ac:dyDescent="0.3">
      <c r="A234" s="2" t="s">
        <v>527</v>
      </c>
      <c r="B234" s="2" t="s">
        <v>38</v>
      </c>
      <c r="C234" s="2" t="s">
        <v>16</v>
      </c>
      <c r="D234" s="2" t="s">
        <v>17</v>
      </c>
      <c r="E234" s="2" t="s">
        <v>469</v>
      </c>
      <c r="F234" s="2" t="s">
        <v>27</v>
      </c>
      <c r="G234" s="2" t="s">
        <v>44</v>
      </c>
      <c r="H234" s="2">
        <v>3437.45</v>
      </c>
      <c r="I234" s="2">
        <v>2585.44</v>
      </c>
      <c r="J234" s="2">
        <v>852.01</v>
      </c>
      <c r="K234" s="2" t="s">
        <v>56</v>
      </c>
      <c r="L234" s="2">
        <v>7</v>
      </c>
      <c r="M234" s="2">
        <v>4</v>
      </c>
      <c r="N234" s="2" t="s">
        <v>22</v>
      </c>
    </row>
    <row r="235" spans="1:14" x14ac:dyDescent="0.3">
      <c r="A235" s="2" t="s">
        <v>528</v>
      </c>
      <c r="B235" s="2" t="s">
        <v>103</v>
      </c>
      <c r="C235" s="2" t="s">
        <v>104</v>
      </c>
      <c r="D235" s="2" t="s">
        <v>17</v>
      </c>
      <c r="E235" s="2" t="s">
        <v>26</v>
      </c>
      <c r="F235" s="2" t="s">
        <v>84</v>
      </c>
      <c r="G235" s="2" t="s">
        <v>73</v>
      </c>
      <c r="H235" s="2">
        <v>2007.28</v>
      </c>
      <c r="I235" s="2">
        <v>1200.27</v>
      </c>
      <c r="J235" s="2">
        <v>807.01</v>
      </c>
      <c r="K235" s="2" t="s">
        <v>21</v>
      </c>
      <c r="L235" s="2"/>
      <c r="M235" s="2">
        <v>5</v>
      </c>
      <c r="N235" s="2" t="s">
        <v>22</v>
      </c>
    </row>
    <row r="236" spans="1:14" x14ac:dyDescent="0.3">
      <c r="A236" s="2" t="s">
        <v>529</v>
      </c>
      <c r="B236" s="2" t="s">
        <v>142</v>
      </c>
      <c r="C236" s="2" t="s">
        <v>76</v>
      </c>
      <c r="D236" s="2" t="s">
        <v>33</v>
      </c>
      <c r="E236" s="2" t="s">
        <v>34</v>
      </c>
      <c r="F236" s="2" t="s">
        <v>27</v>
      </c>
      <c r="G236" s="2" t="s">
        <v>28</v>
      </c>
      <c r="H236" s="2">
        <v>786.16</v>
      </c>
      <c r="I236" s="2">
        <v>475.17</v>
      </c>
      <c r="J236" s="2">
        <v>310.99</v>
      </c>
      <c r="K236" s="2" t="s">
        <v>21</v>
      </c>
      <c r="L236" s="2"/>
      <c r="M236" s="2">
        <v>5</v>
      </c>
      <c r="N236" s="2" t="s">
        <v>29</v>
      </c>
    </row>
    <row r="237" spans="1:14" x14ac:dyDescent="0.3">
      <c r="A237" s="2" t="s">
        <v>530</v>
      </c>
      <c r="B237" s="2" t="s">
        <v>531</v>
      </c>
      <c r="C237" s="2" t="s">
        <v>124</v>
      </c>
      <c r="D237" s="2" t="s">
        <v>33</v>
      </c>
      <c r="E237" s="2" t="s">
        <v>93</v>
      </c>
      <c r="F237" s="2" t="s">
        <v>19</v>
      </c>
      <c r="G237" s="2" t="s">
        <v>28</v>
      </c>
      <c r="H237" s="2">
        <v>2889.63</v>
      </c>
      <c r="I237" s="2">
        <v>1666.11</v>
      </c>
      <c r="J237" s="2">
        <v>1223.52</v>
      </c>
      <c r="K237" s="2" t="s">
        <v>21</v>
      </c>
      <c r="L237" s="2"/>
      <c r="M237" s="2">
        <v>2</v>
      </c>
      <c r="N237" s="2" t="s">
        <v>29</v>
      </c>
    </row>
    <row r="238" spans="1:14" x14ac:dyDescent="0.3">
      <c r="A238" s="2" t="s">
        <v>532</v>
      </c>
      <c r="B238" s="2" t="s">
        <v>403</v>
      </c>
      <c r="C238" s="2" t="s">
        <v>64</v>
      </c>
      <c r="D238" s="2" t="s">
        <v>33</v>
      </c>
      <c r="E238" s="2" t="s">
        <v>39</v>
      </c>
      <c r="F238" s="2" t="s">
        <v>35</v>
      </c>
      <c r="G238" s="2" t="s">
        <v>44</v>
      </c>
      <c r="H238" s="2">
        <v>246.14</v>
      </c>
      <c r="I238" s="2">
        <v>187.74</v>
      </c>
      <c r="J238" s="2">
        <v>58.4</v>
      </c>
      <c r="K238" s="2" t="s">
        <v>21</v>
      </c>
      <c r="L238" s="2"/>
      <c r="M238" s="2">
        <v>4</v>
      </c>
      <c r="N238" s="2" t="s">
        <v>29</v>
      </c>
    </row>
    <row r="239" spans="1:14" x14ac:dyDescent="0.3">
      <c r="A239" s="2" t="s">
        <v>533</v>
      </c>
      <c r="B239" s="2" t="s">
        <v>534</v>
      </c>
      <c r="C239" s="2" t="s">
        <v>16</v>
      </c>
      <c r="D239" s="2" t="s">
        <v>42</v>
      </c>
      <c r="E239" s="2" t="s">
        <v>77</v>
      </c>
      <c r="F239" s="2" t="s">
        <v>27</v>
      </c>
      <c r="G239" s="2" t="s">
        <v>36</v>
      </c>
      <c r="H239" s="2">
        <v>1180.33</v>
      </c>
      <c r="I239" s="2">
        <v>843.38</v>
      </c>
      <c r="J239" s="2">
        <v>336.95</v>
      </c>
      <c r="K239" s="2" t="s">
        <v>21</v>
      </c>
      <c r="L239" s="2"/>
      <c r="M239" s="2">
        <v>4</v>
      </c>
      <c r="N239" s="2" t="s">
        <v>22</v>
      </c>
    </row>
    <row r="240" spans="1:14" x14ac:dyDescent="0.3">
      <c r="A240" s="2" t="s">
        <v>535</v>
      </c>
      <c r="B240" s="2" t="s">
        <v>536</v>
      </c>
      <c r="C240" s="2" t="s">
        <v>64</v>
      </c>
      <c r="D240" s="2" t="s">
        <v>7</v>
      </c>
      <c r="E240" s="2" t="s">
        <v>185</v>
      </c>
      <c r="F240" s="2" t="s">
        <v>27</v>
      </c>
      <c r="G240" s="2" t="s">
        <v>44</v>
      </c>
      <c r="H240" s="2">
        <v>974.84</v>
      </c>
      <c r="I240" s="2">
        <v>570.62</v>
      </c>
      <c r="J240" s="2">
        <v>404.22</v>
      </c>
      <c r="K240" s="2" t="s">
        <v>21</v>
      </c>
      <c r="L240" s="2"/>
      <c r="M240" s="2">
        <v>4</v>
      </c>
      <c r="N240" s="2" t="s">
        <v>22</v>
      </c>
    </row>
    <row r="241" spans="1:14" x14ac:dyDescent="0.3">
      <c r="A241" s="2" t="s">
        <v>537</v>
      </c>
      <c r="B241" s="2" t="s">
        <v>296</v>
      </c>
      <c r="C241" s="2" t="s">
        <v>76</v>
      </c>
      <c r="D241" s="2" t="s">
        <v>42</v>
      </c>
      <c r="E241" s="2" t="s">
        <v>77</v>
      </c>
      <c r="F241" s="2" t="s">
        <v>87</v>
      </c>
      <c r="G241" s="2" t="s">
        <v>36</v>
      </c>
      <c r="H241" s="2">
        <v>259.49</v>
      </c>
      <c r="I241" s="2">
        <v>198.28</v>
      </c>
      <c r="J241" s="2">
        <v>61.21</v>
      </c>
      <c r="K241" s="2" t="s">
        <v>21</v>
      </c>
      <c r="L241" s="2"/>
      <c r="M241" s="2">
        <v>5</v>
      </c>
      <c r="N241" s="2" t="s">
        <v>22</v>
      </c>
    </row>
    <row r="242" spans="1:14" x14ac:dyDescent="0.3">
      <c r="A242" s="2" t="s">
        <v>538</v>
      </c>
      <c r="B242" s="2" t="s">
        <v>539</v>
      </c>
      <c r="C242" s="2" t="s">
        <v>111</v>
      </c>
      <c r="D242" s="2" t="s">
        <v>33</v>
      </c>
      <c r="E242" s="2" t="s">
        <v>119</v>
      </c>
      <c r="F242" s="2" t="s">
        <v>87</v>
      </c>
      <c r="G242" s="2" t="s">
        <v>36</v>
      </c>
      <c r="H242" s="2">
        <v>2977.52</v>
      </c>
      <c r="I242" s="2">
        <v>2350.23</v>
      </c>
      <c r="J242" s="2">
        <v>627.29</v>
      </c>
      <c r="K242" s="2" t="s">
        <v>21</v>
      </c>
      <c r="L242" s="2"/>
      <c r="M242" s="2">
        <v>1</v>
      </c>
      <c r="N242" s="2" t="s">
        <v>22</v>
      </c>
    </row>
    <row r="243" spans="1:14" x14ac:dyDescent="0.3">
      <c r="A243" s="2" t="s">
        <v>339</v>
      </c>
      <c r="B243" s="2" t="s">
        <v>340</v>
      </c>
      <c r="C243" s="2" t="s">
        <v>54</v>
      </c>
      <c r="D243" s="2" t="s">
        <v>33</v>
      </c>
      <c r="E243" s="2" t="s">
        <v>39</v>
      </c>
      <c r="F243" s="2" t="s">
        <v>87</v>
      </c>
      <c r="G243" s="2" t="s">
        <v>44</v>
      </c>
      <c r="H243" s="2">
        <v>3196.27</v>
      </c>
      <c r="I243" s="2">
        <v>2221.94</v>
      </c>
      <c r="J243" s="2">
        <v>974.33</v>
      </c>
      <c r="K243" s="2" t="s">
        <v>56</v>
      </c>
      <c r="L243" s="2">
        <v>4</v>
      </c>
      <c r="M243" s="2">
        <v>4</v>
      </c>
      <c r="N243" s="2" t="s">
        <v>29</v>
      </c>
    </row>
    <row r="244" spans="1:14" x14ac:dyDescent="0.3">
      <c r="A244" s="2" t="s">
        <v>540</v>
      </c>
      <c r="B244" s="2" t="s">
        <v>541</v>
      </c>
      <c r="C244" s="2" t="s">
        <v>16</v>
      </c>
      <c r="D244" s="2" t="s">
        <v>33</v>
      </c>
      <c r="E244" s="2" t="s">
        <v>171</v>
      </c>
      <c r="F244" s="2" t="s">
        <v>27</v>
      </c>
      <c r="G244" s="2" t="s">
        <v>36</v>
      </c>
      <c r="H244" s="2">
        <v>3280</v>
      </c>
      <c r="I244" s="2">
        <v>2127.9499999999998</v>
      </c>
      <c r="J244" s="2">
        <v>1152.05</v>
      </c>
      <c r="K244" s="2" t="s">
        <v>56</v>
      </c>
      <c r="L244" s="2">
        <v>6</v>
      </c>
      <c r="M244" s="2">
        <v>2</v>
      </c>
      <c r="N244" s="2" t="s">
        <v>29</v>
      </c>
    </row>
    <row r="245" spans="1:14" x14ac:dyDescent="0.3">
      <c r="A245" s="2" t="s">
        <v>542</v>
      </c>
      <c r="B245" s="2" t="s">
        <v>441</v>
      </c>
      <c r="C245" s="2" t="s">
        <v>16</v>
      </c>
      <c r="D245" s="2" t="s">
        <v>375</v>
      </c>
      <c r="E245" s="2" t="s">
        <v>262</v>
      </c>
      <c r="F245" s="2" t="s">
        <v>40</v>
      </c>
      <c r="G245" s="2" t="s">
        <v>36</v>
      </c>
      <c r="H245" s="2">
        <v>898.47</v>
      </c>
      <c r="I245" s="2">
        <v>800.02</v>
      </c>
      <c r="J245" s="2">
        <v>98.45</v>
      </c>
      <c r="K245" s="2" t="s">
        <v>56</v>
      </c>
      <c r="L245" s="2">
        <v>4</v>
      </c>
      <c r="M245" s="2">
        <v>1</v>
      </c>
      <c r="N245" s="2" t="s">
        <v>29</v>
      </c>
    </row>
    <row r="246" spans="1:14" x14ac:dyDescent="0.3">
      <c r="A246" s="2" t="s">
        <v>543</v>
      </c>
      <c r="B246" s="2" t="s">
        <v>544</v>
      </c>
      <c r="C246" s="2" t="s">
        <v>111</v>
      </c>
      <c r="D246" s="2" t="s">
        <v>33</v>
      </c>
      <c r="E246" s="2" t="s">
        <v>39</v>
      </c>
      <c r="F246" s="2" t="s">
        <v>40</v>
      </c>
      <c r="G246" s="2" t="s">
        <v>36</v>
      </c>
      <c r="H246" s="2">
        <v>702.67</v>
      </c>
      <c r="I246" s="2">
        <v>523.15</v>
      </c>
      <c r="J246" s="2">
        <v>179.52</v>
      </c>
      <c r="K246" s="2" t="s">
        <v>21</v>
      </c>
      <c r="L246" s="2"/>
      <c r="M246" s="2">
        <v>1</v>
      </c>
      <c r="N246" s="2" t="s">
        <v>22</v>
      </c>
    </row>
    <row r="247" spans="1:14" x14ac:dyDescent="0.3">
      <c r="A247" s="2" t="s">
        <v>545</v>
      </c>
      <c r="B247" s="2" t="s">
        <v>413</v>
      </c>
      <c r="C247" s="2" t="s">
        <v>104</v>
      </c>
      <c r="D247" s="2" t="s">
        <v>127</v>
      </c>
      <c r="E247" s="2" t="s">
        <v>182</v>
      </c>
      <c r="F247" s="2" t="s">
        <v>87</v>
      </c>
      <c r="G247" s="2" t="s">
        <v>36</v>
      </c>
      <c r="H247" s="2">
        <v>733.39</v>
      </c>
      <c r="I247" s="2">
        <v>565.70000000000005</v>
      </c>
      <c r="J247" s="2">
        <v>167.69</v>
      </c>
      <c r="K247" s="2" t="s">
        <v>21</v>
      </c>
      <c r="L247" s="2"/>
      <c r="M247" s="2">
        <v>3</v>
      </c>
      <c r="N247" s="2" t="s">
        <v>29</v>
      </c>
    </row>
    <row r="248" spans="1:14" x14ac:dyDescent="0.3">
      <c r="A248" s="2" t="s">
        <v>546</v>
      </c>
      <c r="B248" s="2" t="s">
        <v>547</v>
      </c>
      <c r="C248" s="2" t="s">
        <v>115</v>
      </c>
      <c r="D248" s="2" t="s">
        <v>42</v>
      </c>
      <c r="E248" s="2" t="s">
        <v>80</v>
      </c>
      <c r="F248" s="2" t="s">
        <v>40</v>
      </c>
      <c r="G248" s="2" t="s">
        <v>36</v>
      </c>
      <c r="H248" s="2">
        <v>2256.3000000000002</v>
      </c>
      <c r="I248" s="2">
        <v>1611.95</v>
      </c>
      <c r="J248" s="2">
        <v>644.35</v>
      </c>
      <c r="K248" s="2" t="s">
        <v>21</v>
      </c>
      <c r="L248" s="2"/>
      <c r="M248" s="2">
        <v>5</v>
      </c>
      <c r="N248" s="2" t="s">
        <v>29</v>
      </c>
    </row>
    <row r="249" spans="1:14" x14ac:dyDescent="0.3">
      <c r="A249" s="2" t="s">
        <v>548</v>
      </c>
      <c r="B249" s="2" t="s">
        <v>549</v>
      </c>
      <c r="C249" s="2" t="s">
        <v>64</v>
      </c>
      <c r="D249" s="2" t="s">
        <v>17</v>
      </c>
      <c r="E249" s="2" t="s">
        <v>26</v>
      </c>
      <c r="F249" s="2" t="s">
        <v>19</v>
      </c>
      <c r="G249" s="2" t="s">
        <v>28</v>
      </c>
      <c r="H249" s="2">
        <v>847.14</v>
      </c>
      <c r="I249" s="2">
        <v>551.87</v>
      </c>
      <c r="J249" s="2">
        <v>295.27</v>
      </c>
      <c r="K249" s="2" t="s">
        <v>21</v>
      </c>
      <c r="L249" s="2"/>
      <c r="M249" s="2">
        <v>5</v>
      </c>
      <c r="N249" s="2" t="s">
        <v>22</v>
      </c>
    </row>
    <row r="250" spans="1:14" x14ac:dyDescent="0.3">
      <c r="A250" s="2" t="s">
        <v>550</v>
      </c>
      <c r="B250" s="2" t="s">
        <v>551</v>
      </c>
      <c r="C250" s="2" t="s">
        <v>76</v>
      </c>
      <c r="D250" s="2" t="s">
        <v>17</v>
      </c>
      <c r="E250" s="2" t="s">
        <v>18</v>
      </c>
      <c r="F250" s="2" t="s">
        <v>40</v>
      </c>
      <c r="G250" s="2" t="s">
        <v>28</v>
      </c>
      <c r="H250" s="2">
        <v>2974.3</v>
      </c>
      <c r="I250" s="2">
        <v>2333.12</v>
      </c>
      <c r="J250" s="2">
        <v>641.17999999999995</v>
      </c>
      <c r="K250" s="2" t="s">
        <v>229</v>
      </c>
      <c r="L250" s="2">
        <v>3</v>
      </c>
      <c r="M250" s="2">
        <v>1</v>
      </c>
      <c r="N250" s="2" t="s">
        <v>22</v>
      </c>
    </row>
    <row r="251" spans="1:14" x14ac:dyDescent="0.3">
      <c r="A251" s="2" t="s">
        <v>552</v>
      </c>
      <c r="B251" s="2" t="s">
        <v>553</v>
      </c>
      <c r="C251" s="2" t="s">
        <v>179</v>
      </c>
      <c r="D251" s="2" t="s">
        <v>17</v>
      </c>
      <c r="E251" s="2" t="s">
        <v>26</v>
      </c>
      <c r="F251" s="2" t="s">
        <v>27</v>
      </c>
      <c r="G251" s="2" t="s">
        <v>20</v>
      </c>
      <c r="H251" s="2">
        <v>1781.59</v>
      </c>
      <c r="I251" s="2">
        <v>1104.6500000000001</v>
      </c>
      <c r="J251" s="2">
        <v>676.94</v>
      </c>
      <c r="K251" s="2" t="s">
        <v>56</v>
      </c>
      <c r="L251" s="2">
        <v>6</v>
      </c>
      <c r="M251" s="2">
        <v>2</v>
      </c>
      <c r="N251" s="2" t="s">
        <v>22</v>
      </c>
    </row>
    <row r="252" spans="1:14" x14ac:dyDescent="0.3">
      <c r="A252" s="2" t="s">
        <v>554</v>
      </c>
      <c r="B252" s="2" t="s">
        <v>555</v>
      </c>
      <c r="C252" s="2" t="s">
        <v>16</v>
      </c>
      <c r="D252" s="2" t="s">
        <v>33</v>
      </c>
      <c r="E252" s="2" t="s">
        <v>105</v>
      </c>
      <c r="F252" s="2" t="s">
        <v>19</v>
      </c>
      <c r="G252" s="2" t="s">
        <v>36</v>
      </c>
      <c r="H252" s="2">
        <v>2216.56</v>
      </c>
      <c r="I252" s="2">
        <v>1359.16</v>
      </c>
      <c r="J252" s="2">
        <v>857.4</v>
      </c>
      <c r="K252" s="2" t="s">
        <v>21</v>
      </c>
      <c r="L252" s="2"/>
      <c r="M252" s="2">
        <v>5</v>
      </c>
      <c r="N252" s="2" t="s">
        <v>22</v>
      </c>
    </row>
    <row r="253" spans="1:14" x14ac:dyDescent="0.3">
      <c r="A253" s="2" t="s">
        <v>556</v>
      </c>
      <c r="B253" s="2" t="s">
        <v>557</v>
      </c>
      <c r="C253" s="2" t="s">
        <v>16</v>
      </c>
      <c r="D253" s="2" t="s">
        <v>59</v>
      </c>
      <c r="E253" s="2" t="s">
        <v>194</v>
      </c>
      <c r="F253" s="2" t="s">
        <v>87</v>
      </c>
      <c r="G253" s="2" t="s">
        <v>558</v>
      </c>
      <c r="H253" s="2">
        <v>936.64</v>
      </c>
      <c r="I253" s="2">
        <v>620.04999999999995</v>
      </c>
      <c r="J253" s="2">
        <v>316.58999999999997</v>
      </c>
      <c r="K253" s="2" t="s">
        <v>90</v>
      </c>
      <c r="L253" s="2"/>
      <c r="M253" s="2">
        <v>5</v>
      </c>
      <c r="N253" s="2" t="s">
        <v>22</v>
      </c>
    </row>
    <row r="254" spans="1:14" x14ac:dyDescent="0.3">
      <c r="A254" s="2" t="s">
        <v>559</v>
      </c>
      <c r="B254" s="2" t="s">
        <v>271</v>
      </c>
      <c r="C254" s="2" t="s">
        <v>179</v>
      </c>
      <c r="D254" s="2" t="s">
        <v>42</v>
      </c>
      <c r="E254" s="2" t="s">
        <v>43</v>
      </c>
      <c r="F254" s="2" t="s">
        <v>84</v>
      </c>
      <c r="G254" s="2" t="s">
        <v>73</v>
      </c>
      <c r="H254" s="2">
        <v>2489.91</v>
      </c>
      <c r="I254" s="2">
        <v>1957.64</v>
      </c>
      <c r="J254" s="2">
        <v>532.27</v>
      </c>
      <c r="K254" s="2" t="s">
        <v>56</v>
      </c>
      <c r="L254" s="2">
        <v>9</v>
      </c>
      <c r="M254" s="2">
        <v>3</v>
      </c>
      <c r="N254" s="2" t="s">
        <v>22</v>
      </c>
    </row>
    <row r="255" spans="1:14" x14ac:dyDescent="0.3">
      <c r="A255" s="2" t="s">
        <v>560</v>
      </c>
      <c r="B255" s="2" t="s">
        <v>441</v>
      </c>
      <c r="C255" s="2" t="s">
        <v>16</v>
      </c>
      <c r="D255" s="2" t="s">
        <v>375</v>
      </c>
      <c r="E255" s="2" t="s">
        <v>162</v>
      </c>
      <c r="F255" s="2" t="s">
        <v>27</v>
      </c>
      <c r="G255" s="2" t="s">
        <v>44</v>
      </c>
      <c r="H255" s="2">
        <v>3410.24</v>
      </c>
      <c r="I255" s="2">
        <v>3016.88</v>
      </c>
      <c r="J255" s="2">
        <v>393.36</v>
      </c>
      <c r="K255" s="2" t="s">
        <v>56</v>
      </c>
      <c r="L255" s="2">
        <v>12</v>
      </c>
      <c r="M255" s="2">
        <v>1</v>
      </c>
      <c r="N255" s="2" t="s">
        <v>29</v>
      </c>
    </row>
    <row r="256" spans="1:14" x14ac:dyDescent="0.3">
      <c r="A256" s="2" t="s">
        <v>561</v>
      </c>
      <c r="B256" s="2" t="s">
        <v>562</v>
      </c>
      <c r="C256" s="2" t="s">
        <v>16</v>
      </c>
      <c r="D256" s="2" t="s">
        <v>33</v>
      </c>
      <c r="E256" s="2" t="s">
        <v>205</v>
      </c>
      <c r="F256" s="2" t="s">
        <v>35</v>
      </c>
      <c r="G256" s="2" t="s">
        <v>36</v>
      </c>
      <c r="H256" s="2">
        <v>2710.16</v>
      </c>
      <c r="I256" s="2">
        <v>1892.43</v>
      </c>
      <c r="J256" s="2">
        <v>817.73</v>
      </c>
      <c r="K256" s="2" t="s">
        <v>56</v>
      </c>
      <c r="L256" s="2">
        <v>9</v>
      </c>
      <c r="M256" s="2">
        <v>3</v>
      </c>
      <c r="N256" s="2" t="s">
        <v>22</v>
      </c>
    </row>
    <row r="257" spans="1:14" x14ac:dyDescent="0.3">
      <c r="A257" s="2" t="s">
        <v>563</v>
      </c>
      <c r="B257" s="2" t="s">
        <v>564</v>
      </c>
      <c r="C257" s="2" t="s">
        <v>32</v>
      </c>
      <c r="D257" s="2" t="s">
        <v>7</v>
      </c>
      <c r="E257" s="2" t="s">
        <v>131</v>
      </c>
      <c r="F257" s="2" t="s">
        <v>315</v>
      </c>
      <c r="G257" s="2" t="s">
        <v>44</v>
      </c>
      <c r="H257" s="2">
        <v>3004.98</v>
      </c>
      <c r="I257" s="2">
        <v>2083.46</v>
      </c>
      <c r="J257" s="2">
        <v>921.52</v>
      </c>
      <c r="K257" s="2" t="s">
        <v>21</v>
      </c>
      <c r="L257" s="2"/>
      <c r="M257" s="2">
        <v>5</v>
      </c>
      <c r="N257" s="2" t="s">
        <v>22</v>
      </c>
    </row>
    <row r="258" spans="1:14" x14ac:dyDescent="0.3">
      <c r="A258" s="2" t="s">
        <v>565</v>
      </c>
      <c r="B258" s="2" t="s">
        <v>482</v>
      </c>
      <c r="C258" s="2" t="s">
        <v>64</v>
      </c>
      <c r="D258" s="2" t="s">
        <v>17</v>
      </c>
      <c r="E258" s="2" t="s">
        <v>226</v>
      </c>
      <c r="F258" s="2" t="s">
        <v>27</v>
      </c>
      <c r="G258" s="2" t="s">
        <v>28</v>
      </c>
      <c r="H258" s="2">
        <v>2567.1999999999998</v>
      </c>
      <c r="I258" s="2">
        <v>1613.29</v>
      </c>
      <c r="J258" s="2">
        <v>953.91</v>
      </c>
      <c r="K258" s="2" t="s">
        <v>56</v>
      </c>
      <c r="L258" s="2">
        <v>3</v>
      </c>
      <c r="M258" s="2">
        <v>3</v>
      </c>
      <c r="N258" s="2" t="s">
        <v>22</v>
      </c>
    </row>
    <row r="259" spans="1:14" x14ac:dyDescent="0.3">
      <c r="A259" s="2" t="s">
        <v>566</v>
      </c>
      <c r="B259" s="2" t="s">
        <v>368</v>
      </c>
      <c r="C259" s="2" t="s">
        <v>115</v>
      </c>
      <c r="D259" s="2" t="s">
        <v>33</v>
      </c>
      <c r="E259" s="2" t="s">
        <v>105</v>
      </c>
      <c r="F259" s="2" t="s">
        <v>27</v>
      </c>
      <c r="G259" s="2" t="s">
        <v>28</v>
      </c>
      <c r="H259" s="2">
        <v>2984.33</v>
      </c>
      <c r="I259" s="2">
        <v>2173</v>
      </c>
      <c r="J259" s="2">
        <v>811.33</v>
      </c>
      <c r="K259" s="2" t="s">
        <v>21</v>
      </c>
      <c r="L259" s="2"/>
      <c r="M259" s="2">
        <v>3</v>
      </c>
      <c r="N259" s="2" t="s">
        <v>29</v>
      </c>
    </row>
    <row r="260" spans="1:14" x14ac:dyDescent="0.3">
      <c r="A260" s="2" t="s">
        <v>567</v>
      </c>
      <c r="B260" s="2" t="s">
        <v>281</v>
      </c>
      <c r="C260" s="2" t="s">
        <v>54</v>
      </c>
      <c r="D260" s="2" t="s">
        <v>17</v>
      </c>
      <c r="E260" s="2" t="s">
        <v>18</v>
      </c>
      <c r="F260" s="2" t="s">
        <v>27</v>
      </c>
      <c r="G260" s="2" t="s">
        <v>36</v>
      </c>
      <c r="H260" s="2">
        <v>3804.25</v>
      </c>
      <c r="I260" s="2">
        <v>2336.02</v>
      </c>
      <c r="J260" s="2">
        <v>1468.23</v>
      </c>
      <c r="K260" s="2" t="s">
        <v>21</v>
      </c>
      <c r="L260" s="2"/>
      <c r="M260" s="2">
        <v>5</v>
      </c>
      <c r="N260" s="2" t="s">
        <v>22</v>
      </c>
    </row>
    <row r="261" spans="1:14" x14ac:dyDescent="0.3">
      <c r="A261" s="2" t="s">
        <v>568</v>
      </c>
      <c r="B261" s="2" t="s">
        <v>569</v>
      </c>
      <c r="C261" s="2" t="s">
        <v>68</v>
      </c>
      <c r="D261" s="2" t="s">
        <v>59</v>
      </c>
      <c r="E261" s="2" t="s">
        <v>194</v>
      </c>
      <c r="F261" s="2" t="s">
        <v>27</v>
      </c>
      <c r="G261" s="2" t="s">
        <v>36</v>
      </c>
      <c r="H261" s="2">
        <v>3250.24</v>
      </c>
      <c r="I261" s="2">
        <v>2019.15</v>
      </c>
      <c r="J261" s="2">
        <v>1231.0899999999999</v>
      </c>
      <c r="K261" s="2" t="s">
        <v>21</v>
      </c>
      <c r="L261" s="2"/>
      <c r="M261" s="2">
        <v>4</v>
      </c>
      <c r="N261" s="2" t="s">
        <v>22</v>
      </c>
    </row>
    <row r="262" spans="1:14" x14ac:dyDescent="0.3">
      <c r="A262" s="2" t="s">
        <v>570</v>
      </c>
      <c r="B262" s="2" t="s">
        <v>571</v>
      </c>
      <c r="C262" s="2" t="s">
        <v>179</v>
      </c>
      <c r="D262" s="2" t="s">
        <v>17</v>
      </c>
      <c r="E262" s="2" t="s">
        <v>51</v>
      </c>
      <c r="F262" s="2" t="s">
        <v>27</v>
      </c>
      <c r="G262" s="2" t="s">
        <v>20</v>
      </c>
      <c r="H262" s="2">
        <v>504.54</v>
      </c>
      <c r="I262" s="2">
        <v>292.88</v>
      </c>
      <c r="J262" s="2">
        <v>211.66</v>
      </c>
      <c r="K262" s="2" t="s">
        <v>21</v>
      </c>
      <c r="L262" s="2"/>
      <c r="M262" s="2">
        <v>3</v>
      </c>
      <c r="N262" s="2" t="s">
        <v>29</v>
      </c>
    </row>
    <row r="263" spans="1:14" x14ac:dyDescent="0.3">
      <c r="A263" s="2" t="s">
        <v>572</v>
      </c>
      <c r="B263" s="2" t="s">
        <v>164</v>
      </c>
      <c r="C263" s="2" t="s">
        <v>25</v>
      </c>
      <c r="D263" s="2" t="s">
        <v>59</v>
      </c>
      <c r="E263" s="2" t="s">
        <v>194</v>
      </c>
      <c r="F263" s="2" t="s">
        <v>40</v>
      </c>
      <c r="G263" s="2" t="s">
        <v>36</v>
      </c>
      <c r="H263" s="2">
        <v>1601.53</v>
      </c>
      <c r="I263" s="2">
        <v>944.34</v>
      </c>
      <c r="J263" s="2">
        <v>657.19</v>
      </c>
      <c r="K263" s="2" t="s">
        <v>21</v>
      </c>
      <c r="L263" s="2"/>
      <c r="M263" s="2">
        <v>3</v>
      </c>
      <c r="N263" s="2" t="s">
        <v>29</v>
      </c>
    </row>
    <row r="264" spans="1:14" x14ac:dyDescent="0.3">
      <c r="A264" s="2" t="s">
        <v>573</v>
      </c>
      <c r="B264" s="2" t="s">
        <v>574</v>
      </c>
      <c r="C264" s="2" t="s">
        <v>115</v>
      </c>
      <c r="D264" s="2" t="s">
        <v>33</v>
      </c>
      <c r="E264" s="2" t="s">
        <v>105</v>
      </c>
      <c r="F264" s="2" t="s">
        <v>19</v>
      </c>
      <c r="G264" s="2" t="s">
        <v>36</v>
      </c>
      <c r="H264" s="2">
        <v>923.96</v>
      </c>
      <c r="I264" s="2">
        <v>560.28</v>
      </c>
      <c r="J264" s="2">
        <v>363.68</v>
      </c>
      <c r="K264" s="2" t="s">
        <v>21</v>
      </c>
      <c r="L264" s="2"/>
      <c r="M264" s="2">
        <v>4</v>
      </c>
      <c r="N264" s="2" t="s">
        <v>22</v>
      </c>
    </row>
    <row r="265" spans="1:14" x14ac:dyDescent="0.3">
      <c r="A265" s="2" t="s">
        <v>575</v>
      </c>
      <c r="B265" s="2" t="s">
        <v>576</v>
      </c>
      <c r="C265" s="2" t="s">
        <v>76</v>
      </c>
      <c r="D265" s="2" t="s">
        <v>42</v>
      </c>
      <c r="E265" s="2" t="s">
        <v>214</v>
      </c>
      <c r="F265" s="2" t="s">
        <v>35</v>
      </c>
      <c r="G265" s="2" t="s">
        <v>20</v>
      </c>
      <c r="H265" s="2">
        <v>1121.72</v>
      </c>
      <c r="I265" s="2">
        <v>904.43</v>
      </c>
      <c r="J265" s="2">
        <v>217.29</v>
      </c>
      <c r="K265" s="2" t="s">
        <v>56</v>
      </c>
      <c r="L265" s="2">
        <v>13</v>
      </c>
      <c r="M265" s="2">
        <v>5</v>
      </c>
      <c r="N265" s="2" t="s">
        <v>22</v>
      </c>
    </row>
    <row r="266" spans="1:14" x14ac:dyDescent="0.3">
      <c r="A266" s="2" t="s">
        <v>577</v>
      </c>
      <c r="B266" s="2" t="s">
        <v>138</v>
      </c>
      <c r="C266" s="2" t="s">
        <v>115</v>
      </c>
      <c r="D266" s="2" t="s">
        <v>33</v>
      </c>
      <c r="E266" s="2" t="s">
        <v>34</v>
      </c>
      <c r="F266" s="2" t="s">
        <v>27</v>
      </c>
      <c r="G266" s="2" t="s">
        <v>20</v>
      </c>
      <c r="H266" s="2">
        <v>263.31</v>
      </c>
      <c r="I266" s="2">
        <v>200.56</v>
      </c>
      <c r="J266" s="2">
        <v>62.75</v>
      </c>
      <c r="K266" s="2" t="s">
        <v>21</v>
      </c>
      <c r="L266" s="2"/>
      <c r="M266" s="2">
        <v>5</v>
      </c>
      <c r="N266" s="2" t="s">
        <v>29</v>
      </c>
    </row>
    <row r="267" spans="1:14" x14ac:dyDescent="0.3">
      <c r="A267" s="2" t="s">
        <v>578</v>
      </c>
      <c r="B267" s="2" t="s">
        <v>579</v>
      </c>
      <c r="C267" s="2" t="s">
        <v>104</v>
      </c>
      <c r="D267" s="2" t="s">
        <v>17</v>
      </c>
      <c r="E267" s="2" t="s">
        <v>469</v>
      </c>
      <c r="F267" s="2" t="s">
        <v>84</v>
      </c>
      <c r="G267" s="2" t="s">
        <v>28</v>
      </c>
      <c r="H267" s="2">
        <v>736.96</v>
      </c>
      <c r="I267" s="2">
        <v>577.99</v>
      </c>
      <c r="J267" s="2">
        <v>158.97</v>
      </c>
      <c r="K267" s="2" t="s">
        <v>21</v>
      </c>
      <c r="L267" s="2"/>
      <c r="M267" s="2">
        <v>5</v>
      </c>
      <c r="N267" s="2" t="s">
        <v>22</v>
      </c>
    </row>
    <row r="268" spans="1:14" x14ac:dyDescent="0.3">
      <c r="A268" s="2" t="s">
        <v>580</v>
      </c>
      <c r="B268" s="2" t="s">
        <v>581</v>
      </c>
      <c r="C268" s="2" t="s">
        <v>124</v>
      </c>
      <c r="D268" s="2" t="s">
        <v>7</v>
      </c>
      <c r="E268" s="2" t="s">
        <v>182</v>
      </c>
      <c r="F268" s="2" t="s">
        <v>27</v>
      </c>
      <c r="G268" s="2" t="s">
        <v>20</v>
      </c>
      <c r="H268" s="2">
        <v>3019.08</v>
      </c>
      <c r="I268" s="2">
        <v>1758.54</v>
      </c>
      <c r="J268" s="2">
        <v>1260.54</v>
      </c>
      <c r="K268" s="2" t="s">
        <v>21</v>
      </c>
      <c r="L268" s="2"/>
      <c r="M268" s="2">
        <v>4</v>
      </c>
      <c r="N268" s="2" t="s">
        <v>22</v>
      </c>
    </row>
    <row r="269" spans="1:14" x14ac:dyDescent="0.3">
      <c r="A269" s="2" t="s">
        <v>582</v>
      </c>
      <c r="B269" s="2" t="s">
        <v>583</v>
      </c>
      <c r="C269" s="2" t="s">
        <v>104</v>
      </c>
      <c r="D269" s="2" t="s">
        <v>7</v>
      </c>
      <c r="E269" s="2" t="s">
        <v>128</v>
      </c>
      <c r="F269" s="2" t="s">
        <v>40</v>
      </c>
      <c r="G269" s="2" t="s">
        <v>28</v>
      </c>
      <c r="H269" s="2">
        <v>1609.52</v>
      </c>
      <c r="I269" s="2">
        <v>1046.3699999999999</v>
      </c>
      <c r="J269" s="2">
        <v>563.15</v>
      </c>
      <c r="K269" s="2" t="s">
        <v>21</v>
      </c>
      <c r="L269" s="2"/>
      <c r="M269" s="2">
        <v>4</v>
      </c>
      <c r="N269" s="2" t="s">
        <v>22</v>
      </c>
    </row>
    <row r="270" spans="1:14" x14ac:dyDescent="0.3">
      <c r="A270" s="2" t="s">
        <v>584</v>
      </c>
      <c r="B270" s="2" t="s">
        <v>585</v>
      </c>
      <c r="C270" s="2" t="s">
        <v>104</v>
      </c>
      <c r="D270" s="2" t="s">
        <v>42</v>
      </c>
      <c r="E270" s="2" t="s">
        <v>262</v>
      </c>
      <c r="F270" s="2" t="s">
        <v>19</v>
      </c>
      <c r="G270" s="2" t="s">
        <v>28</v>
      </c>
      <c r="H270" s="2">
        <v>2700.94</v>
      </c>
      <c r="I270" s="2">
        <v>2292.48</v>
      </c>
      <c r="J270" s="2">
        <v>408.46</v>
      </c>
      <c r="K270" s="2" t="s">
        <v>56</v>
      </c>
      <c r="L270" s="2">
        <v>12</v>
      </c>
      <c r="M270" s="2">
        <v>2</v>
      </c>
      <c r="N270" s="2" t="s">
        <v>22</v>
      </c>
    </row>
    <row r="271" spans="1:14" x14ac:dyDescent="0.3">
      <c r="A271" s="2" t="s">
        <v>586</v>
      </c>
      <c r="B271" s="2" t="s">
        <v>587</v>
      </c>
      <c r="C271" s="2" t="s">
        <v>54</v>
      </c>
      <c r="D271" s="2" t="s">
        <v>7</v>
      </c>
      <c r="E271" s="2" t="s">
        <v>55</v>
      </c>
      <c r="F271" s="2" t="s">
        <v>27</v>
      </c>
      <c r="G271" s="2" t="s">
        <v>44</v>
      </c>
      <c r="H271" s="2">
        <v>1556.44</v>
      </c>
      <c r="I271" s="2">
        <v>988.69</v>
      </c>
      <c r="J271" s="2">
        <v>567.75</v>
      </c>
      <c r="K271" s="2" t="s">
        <v>21</v>
      </c>
      <c r="L271" s="2"/>
      <c r="M271" s="2">
        <v>5</v>
      </c>
      <c r="N271" s="2" t="s">
        <v>22</v>
      </c>
    </row>
    <row r="272" spans="1:14" x14ac:dyDescent="0.3">
      <c r="A272" s="2" t="s">
        <v>588</v>
      </c>
      <c r="B272" s="2" t="s">
        <v>589</v>
      </c>
      <c r="C272" s="2" t="s">
        <v>68</v>
      </c>
      <c r="D272" s="2" t="s">
        <v>17</v>
      </c>
      <c r="E272" s="2" t="s">
        <v>100</v>
      </c>
      <c r="F272" s="2" t="s">
        <v>87</v>
      </c>
      <c r="G272" s="2" t="s">
        <v>44</v>
      </c>
      <c r="H272" s="2">
        <v>1193.81</v>
      </c>
      <c r="I272" s="2">
        <v>893.6</v>
      </c>
      <c r="J272" s="2">
        <v>300.20999999999998</v>
      </c>
      <c r="K272" s="2" t="s">
        <v>21</v>
      </c>
      <c r="L272" s="2"/>
      <c r="M272" s="2">
        <v>4</v>
      </c>
      <c r="N272" s="2" t="s">
        <v>22</v>
      </c>
    </row>
    <row r="273" spans="1:14" x14ac:dyDescent="0.3">
      <c r="A273" s="2" t="s">
        <v>590</v>
      </c>
      <c r="B273" s="2" t="s">
        <v>591</v>
      </c>
      <c r="C273" s="2" t="s">
        <v>111</v>
      </c>
      <c r="D273" s="2" t="s">
        <v>17</v>
      </c>
      <c r="E273" s="2" t="s">
        <v>96</v>
      </c>
      <c r="F273" s="2" t="s">
        <v>592</v>
      </c>
      <c r="G273" s="2" t="s">
        <v>73</v>
      </c>
      <c r="H273" s="2">
        <v>2388.6999999999998</v>
      </c>
      <c r="I273" s="2">
        <v>1714.87</v>
      </c>
      <c r="J273" s="2">
        <v>673.83</v>
      </c>
      <c r="K273" s="2" t="s">
        <v>21</v>
      </c>
      <c r="L273" s="2"/>
      <c r="M273" s="2">
        <v>4</v>
      </c>
      <c r="N273" s="2" t="s">
        <v>29</v>
      </c>
    </row>
    <row r="274" spans="1:14" x14ac:dyDescent="0.3">
      <c r="A274" s="2" t="s">
        <v>593</v>
      </c>
      <c r="B274" s="2" t="s">
        <v>594</v>
      </c>
      <c r="C274" s="2" t="s">
        <v>179</v>
      </c>
      <c r="D274" s="2" t="s">
        <v>7</v>
      </c>
      <c r="E274" s="2" t="s">
        <v>65</v>
      </c>
      <c r="F274" s="2" t="s">
        <v>84</v>
      </c>
      <c r="G274" s="2" t="s">
        <v>28</v>
      </c>
      <c r="H274" s="2">
        <v>427.36</v>
      </c>
      <c r="I274" s="2">
        <v>294.72000000000003</v>
      </c>
      <c r="J274" s="2">
        <v>132.63999999999999</v>
      </c>
      <c r="K274" s="2" t="s">
        <v>21</v>
      </c>
      <c r="L274" s="2"/>
      <c r="M274" s="2">
        <v>3</v>
      </c>
      <c r="N274" s="2" t="s">
        <v>29</v>
      </c>
    </row>
    <row r="275" spans="1:14" x14ac:dyDescent="0.3">
      <c r="A275" s="2" t="s">
        <v>595</v>
      </c>
      <c r="B275" s="2" t="s">
        <v>596</v>
      </c>
      <c r="C275" s="2" t="s">
        <v>25</v>
      </c>
      <c r="D275" s="2" t="s">
        <v>33</v>
      </c>
      <c r="E275" s="2" t="s">
        <v>119</v>
      </c>
      <c r="F275" s="2"/>
      <c r="G275" s="2" t="s">
        <v>36</v>
      </c>
      <c r="H275" s="2">
        <v>2257.54</v>
      </c>
      <c r="I275" s="2">
        <v>1619.03</v>
      </c>
      <c r="J275" s="2">
        <v>638.51</v>
      </c>
      <c r="K275" s="2" t="s">
        <v>56</v>
      </c>
      <c r="L275" s="2">
        <v>1</v>
      </c>
      <c r="M275" s="2">
        <v>2</v>
      </c>
      <c r="N275" s="2" t="s">
        <v>22</v>
      </c>
    </row>
    <row r="276" spans="1:14" x14ac:dyDescent="0.3">
      <c r="A276" s="2" t="s">
        <v>597</v>
      </c>
      <c r="B276" s="2" t="s">
        <v>221</v>
      </c>
      <c r="C276" s="2" t="s">
        <v>25</v>
      </c>
      <c r="D276" s="2" t="s">
        <v>33</v>
      </c>
      <c r="E276" s="2" t="s">
        <v>171</v>
      </c>
      <c r="F276" s="2" t="s">
        <v>35</v>
      </c>
      <c r="G276" s="2" t="s">
        <v>73</v>
      </c>
      <c r="H276" s="2">
        <v>531.35</v>
      </c>
      <c r="I276" s="2">
        <v>336.51</v>
      </c>
      <c r="J276" s="2">
        <v>194.84</v>
      </c>
      <c r="K276" s="2" t="s">
        <v>21</v>
      </c>
      <c r="L276" s="2"/>
      <c r="M276" s="2">
        <v>2</v>
      </c>
      <c r="N276" s="2" t="s">
        <v>29</v>
      </c>
    </row>
    <row r="277" spans="1:14" x14ac:dyDescent="0.3">
      <c r="A277" s="2" t="s">
        <v>598</v>
      </c>
      <c r="B277" s="2" t="s">
        <v>599</v>
      </c>
      <c r="C277" s="2" t="s">
        <v>104</v>
      </c>
      <c r="D277" s="2" t="s">
        <v>33</v>
      </c>
      <c r="E277" s="2" t="s">
        <v>39</v>
      </c>
      <c r="F277" s="2" t="s">
        <v>84</v>
      </c>
      <c r="G277" s="2" t="s">
        <v>73</v>
      </c>
      <c r="H277" s="2">
        <v>624.47</v>
      </c>
      <c r="I277" s="2">
        <v>411.51</v>
      </c>
      <c r="J277" s="2">
        <v>212.96</v>
      </c>
      <c r="K277" s="2" t="s">
        <v>21</v>
      </c>
      <c r="L277" s="2"/>
      <c r="M277" s="2">
        <v>4</v>
      </c>
      <c r="N277" s="2" t="s">
        <v>29</v>
      </c>
    </row>
    <row r="278" spans="1:14" x14ac:dyDescent="0.3">
      <c r="A278" s="2" t="s">
        <v>600</v>
      </c>
      <c r="B278" s="2" t="s">
        <v>601</v>
      </c>
      <c r="C278" s="2" t="s">
        <v>32</v>
      </c>
      <c r="D278" s="2" t="s">
        <v>602</v>
      </c>
      <c r="E278" s="2" t="s">
        <v>469</v>
      </c>
      <c r="F278" s="2" t="s">
        <v>40</v>
      </c>
      <c r="G278" s="2" t="s">
        <v>44</v>
      </c>
      <c r="H278" s="2">
        <v>1563.76</v>
      </c>
      <c r="I278" s="2">
        <v>1214.1300000000001</v>
      </c>
      <c r="J278" s="2">
        <v>349.63</v>
      </c>
      <c r="K278" s="2" t="s">
        <v>56</v>
      </c>
      <c r="L278" s="2">
        <v>5</v>
      </c>
      <c r="M278" s="2">
        <v>4</v>
      </c>
      <c r="N278" s="2" t="s">
        <v>22</v>
      </c>
    </row>
    <row r="279" spans="1:14" x14ac:dyDescent="0.3">
      <c r="A279" s="2" t="s">
        <v>603</v>
      </c>
      <c r="B279" s="2" t="s">
        <v>429</v>
      </c>
      <c r="C279" s="2" t="s">
        <v>115</v>
      </c>
      <c r="D279" s="2" t="s">
        <v>17</v>
      </c>
      <c r="E279" s="2" t="s">
        <v>226</v>
      </c>
      <c r="F279" s="2" t="s">
        <v>87</v>
      </c>
      <c r="G279" s="2" t="s">
        <v>36</v>
      </c>
      <c r="H279" s="2">
        <v>938.34</v>
      </c>
      <c r="I279" s="2">
        <v>664.03</v>
      </c>
      <c r="J279" s="2">
        <v>274.31</v>
      </c>
      <c r="K279" s="2" t="s">
        <v>21</v>
      </c>
      <c r="L279" s="2"/>
      <c r="M279" s="2">
        <v>4</v>
      </c>
      <c r="N279" s="2" t="s">
        <v>22</v>
      </c>
    </row>
    <row r="280" spans="1:14" x14ac:dyDescent="0.3">
      <c r="A280" s="2" t="s">
        <v>604</v>
      </c>
      <c r="B280" s="2" t="s">
        <v>241</v>
      </c>
      <c r="C280" s="2" t="s">
        <v>76</v>
      </c>
      <c r="D280" s="2" t="s">
        <v>7</v>
      </c>
      <c r="E280" s="2" t="s">
        <v>182</v>
      </c>
      <c r="F280" s="2" t="s">
        <v>605</v>
      </c>
      <c r="G280" s="2" t="s">
        <v>73</v>
      </c>
      <c r="H280" s="2">
        <v>2499.4499999999998</v>
      </c>
      <c r="I280" s="2">
        <v>1869.26</v>
      </c>
      <c r="J280" s="2">
        <v>630.19000000000005</v>
      </c>
      <c r="K280" s="2" t="s">
        <v>21</v>
      </c>
      <c r="L280" s="2"/>
      <c r="M280" s="2">
        <v>4</v>
      </c>
      <c r="N280" s="2" t="s">
        <v>22</v>
      </c>
    </row>
    <row r="281" spans="1:14" x14ac:dyDescent="0.3">
      <c r="A281" s="2" t="s">
        <v>606</v>
      </c>
      <c r="B281" s="2" t="s">
        <v>607</v>
      </c>
      <c r="C281" s="2" t="s">
        <v>68</v>
      </c>
      <c r="D281" s="2" t="s">
        <v>7</v>
      </c>
      <c r="E281" s="2" t="s">
        <v>55</v>
      </c>
      <c r="F281" s="2"/>
      <c r="G281" s="2" t="s">
        <v>36</v>
      </c>
      <c r="H281" s="2">
        <v>255.28</v>
      </c>
      <c r="I281" s="2">
        <v>143.12</v>
      </c>
      <c r="J281" s="2">
        <v>112.16</v>
      </c>
      <c r="K281" s="2" t="s">
        <v>21</v>
      </c>
      <c r="L281" s="2"/>
      <c r="M281" s="2">
        <v>3</v>
      </c>
      <c r="N281" s="2" t="s">
        <v>22</v>
      </c>
    </row>
    <row r="282" spans="1:14" x14ac:dyDescent="0.3">
      <c r="A282" s="2" t="s">
        <v>608</v>
      </c>
      <c r="B282" s="2" t="s">
        <v>609</v>
      </c>
      <c r="C282" s="2" t="s">
        <v>115</v>
      </c>
      <c r="D282" s="2" t="s">
        <v>17</v>
      </c>
      <c r="E282" s="2" t="s">
        <v>18</v>
      </c>
      <c r="F282" s="2" t="s">
        <v>19</v>
      </c>
      <c r="G282" s="2" t="s">
        <v>44</v>
      </c>
      <c r="H282" s="2">
        <v>775.98</v>
      </c>
      <c r="I282" s="2">
        <v>481.33</v>
      </c>
      <c r="J282" s="2">
        <v>294.64999999999998</v>
      </c>
      <c r="K282" s="2" t="s">
        <v>21</v>
      </c>
      <c r="L282" s="2"/>
      <c r="M282" s="2">
        <v>4</v>
      </c>
      <c r="N282" s="2" t="s">
        <v>22</v>
      </c>
    </row>
    <row r="283" spans="1:14" x14ac:dyDescent="0.3">
      <c r="A283" s="2" t="s">
        <v>610</v>
      </c>
      <c r="B283" s="2" t="s">
        <v>611</v>
      </c>
      <c r="C283" s="2" t="s">
        <v>76</v>
      </c>
      <c r="D283" s="2" t="s">
        <v>59</v>
      </c>
      <c r="E283" s="2" t="s">
        <v>108</v>
      </c>
      <c r="F283" s="2" t="s">
        <v>87</v>
      </c>
      <c r="G283" s="2" t="s">
        <v>73</v>
      </c>
      <c r="H283" s="2">
        <v>547.15</v>
      </c>
      <c r="I283" s="2">
        <v>338.39</v>
      </c>
      <c r="J283" s="2">
        <v>208.76</v>
      </c>
      <c r="K283" s="2" t="s">
        <v>21</v>
      </c>
      <c r="L283" s="2"/>
      <c r="M283" s="2">
        <v>5</v>
      </c>
      <c r="N283" s="2" t="s">
        <v>22</v>
      </c>
    </row>
    <row r="284" spans="1:14" x14ac:dyDescent="0.3">
      <c r="A284" s="2" t="s">
        <v>612</v>
      </c>
      <c r="B284" s="2" t="s">
        <v>579</v>
      </c>
      <c r="C284" s="2" t="s">
        <v>104</v>
      </c>
      <c r="D284" s="2" t="s">
        <v>7</v>
      </c>
      <c r="E284" s="2" t="s">
        <v>131</v>
      </c>
      <c r="F284" s="2" t="s">
        <v>27</v>
      </c>
      <c r="G284" s="2" t="s">
        <v>44</v>
      </c>
      <c r="H284" s="2">
        <v>2527.77</v>
      </c>
      <c r="I284" s="2">
        <v>1586.65</v>
      </c>
      <c r="J284" s="2">
        <v>941.12</v>
      </c>
      <c r="K284" s="2" t="s">
        <v>21</v>
      </c>
      <c r="L284" s="2"/>
      <c r="M284" s="2">
        <v>5</v>
      </c>
      <c r="N284" s="2" t="s">
        <v>22</v>
      </c>
    </row>
    <row r="285" spans="1:14" x14ac:dyDescent="0.3">
      <c r="A285" s="2" t="s">
        <v>613</v>
      </c>
      <c r="B285" s="2" t="s">
        <v>614</v>
      </c>
      <c r="C285" s="2" t="s">
        <v>104</v>
      </c>
      <c r="D285" s="2" t="s">
        <v>7</v>
      </c>
      <c r="E285" s="2" t="s">
        <v>131</v>
      </c>
      <c r="F285" s="2" t="s">
        <v>84</v>
      </c>
      <c r="G285" s="2" t="s">
        <v>44</v>
      </c>
      <c r="H285" s="2">
        <v>2044.24</v>
      </c>
      <c r="I285" s="2">
        <v>1477.27</v>
      </c>
      <c r="J285" s="2">
        <v>566.97</v>
      </c>
      <c r="K285" s="2" t="s">
        <v>56</v>
      </c>
      <c r="L285" s="2">
        <v>1</v>
      </c>
      <c r="M285" s="2">
        <v>3</v>
      </c>
      <c r="N285" s="2" t="s">
        <v>22</v>
      </c>
    </row>
    <row r="286" spans="1:14" x14ac:dyDescent="0.3">
      <c r="A286" s="2" t="s">
        <v>615</v>
      </c>
      <c r="B286" s="2" t="s">
        <v>616</v>
      </c>
      <c r="C286" s="2" t="s">
        <v>54</v>
      </c>
      <c r="D286" s="2" t="s">
        <v>42</v>
      </c>
      <c r="E286" s="2" t="s">
        <v>43</v>
      </c>
      <c r="F286" s="2" t="s">
        <v>35</v>
      </c>
      <c r="G286" s="2" t="s">
        <v>44</v>
      </c>
      <c r="H286" s="2">
        <v>1047.1300000000001</v>
      </c>
      <c r="I286" s="2">
        <v>768.67</v>
      </c>
      <c r="J286" s="2">
        <v>278.45999999999998</v>
      </c>
      <c r="K286" s="2" t="s">
        <v>56</v>
      </c>
      <c r="L286" s="2">
        <v>11</v>
      </c>
      <c r="M286" s="2">
        <v>2</v>
      </c>
      <c r="N286" s="2" t="s">
        <v>29</v>
      </c>
    </row>
    <row r="287" spans="1:14" x14ac:dyDescent="0.3">
      <c r="A287" s="2" t="s">
        <v>617</v>
      </c>
      <c r="B287" s="2" t="s">
        <v>618</v>
      </c>
      <c r="C287" s="2" t="s">
        <v>111</v>
      </c>
      <c r="D287" s="2" t="s">
        <v>17</v>
      </c>
      <c r="E287" s="2" t="s">
        <v>226</v>
      </c>
      <c r="F287" s="2" t="s">
        <v>19</v>
      </c>
      <c r="G287" s="2" t="s">
        <v>44</v>
      </c>
      <c r="H287" s="2">
        <v>710.4</v>
      </c>
      <c r="I287" s="2">
        <v>493.33</v>
      </c>
      <c r="J287" s="2">
        <v>217.07</v>
      </c>
      <c r="K287" s="2" t="s">
        <v>56</v>
      </c>
      <c r="L287" s="2">
        <v>2</v>
      </c>
      <c r="M287" s="2">
        <v>1</v>
      </c>
      <c r="N287" s="2" t="s">
        <v>22</v>
      </c>
    </row>
    <row r="288" spans="1:14" x14ac:dyDescent="0.3">
      <c r="A288" s="2" t="s">
        <v>619</v>
      </c>
      <c r="B288" s="2" t="s">
        <v>585</v>
      </c>
      <c r="C288" s="2" t="s">
        <v>104</v>
      </c>
      <c r="D288" s="2" t="s">
        <v>59</v>
      </c>
      <c r="E288" s="2" t="s">
        <v>308</v>
      </c>
      <c r="F288" s="2" t="s">
        <v>35</v>
      </c>
      <c r="G288" s="2" t="s">
        <v>44</v>
      </c>
      <c r="H288" s="2">
        <v>1084.67</v>
      </c>
      <c r="I288" s="2">
        <v>677.51</v>
      </c>
      <c r="J288" s="2">
        <v>407.16</v>
      </c>
      <c r="K288" s="2" t="s">
        <v>21</v>
      </c>
      <c r="L288" s="2"/>
      <c r="M288" s="2">
        <v>5</v>
      </c>
      <c r="N288" s="2" t="s">
        <v>22</v>
      </c>
    </row>
    <row r="289" spans="1:14" x14ac:dyDescent="0.3">
      <c r="A289" s="2" t="s">
        <v>620</v>
      </c>
      <c r="B289" s="2" t="s">
        <v>621</v>
      </c>
      <c r="C289" s="2" t="s">
        <v>32</v>
      </c>
      <c r="D289" s="2" t="s">
        <v>42</v>
      </c>
      <c r="E289" s="2" t="s">
        <v>43</v>
      </c>
      <c r="F289" s="2" t="s">
        <v>87</v>
      </c>
      <c r="G289" s="2" t="s">
        <v>36</v>
      </c>
      <c r="H289" s="2">
        <v>2881.44</v>
      </c>
      <c r="I289" s="2">
        <v>2082.4899999999998</v>
      </c>
      <c r="J289" s="2">
        <v>798.95</v>
      </c>
      <c r="K289" s="2" t="s">
        <v>56</v>
      </c>
      <c r="L289" s="2">
        <v>11</v>
      </c>
      <c r="M289" s="2">
        <v>1</v>
      </c>
      <c r="N289" s="2" t="s">
        <v>29</v>
      </c>
    </row>
    <row r="290" spans="1:14" x14ac:dyDescent="0.3">
      <c r="A290" s="2" t="s">
        <v>622</v>
      </c>
      <c r="B290" s="2" t="s">
        <v>623</v>
      </c>
      <c r="C290" s="2" t="s">
        <v>104</v>
      </c>
      <c r="D290" s="2" t="s">
        <v>7</v>
      </c>
      <c r="E290" s="2" t="s">
        <v>131</v>
      </c>
      <c r="F290" s="2" t="s">
        <v>87</v>
      </c>
      <c r="G290" s="2" t="s">
        <v>73</v>
      </c>
      <c r="H290" s="2">
        <v>1346.1</v>
      </c>
      <c r="I290" s="2">
        <v>793.73</v>
      </c>
      <c r="J290" s="2">
        <v>552.37</v>
      </c>
      <c r="K290" s="2" t="s">
        <v>21</v>
      </c>
      <c r="L290" s="2"/>
      <c r="M290" s="2">
        <v>3</v>
      </c>
      <c r="N290" s="2" t="s">
        <v>22</v>
      </c>
    </row>
    <row r="291" spans="1:14" x14ac:dyDescent="0.3">
      <c r="A291" s="2" t="s">
        <v>624</v>
      </c>
      <c r="B291" s="2" t="s">
        <v>625</v>
      </c>
      <c r="C291" s="2" t="s">
        <v>124</v>
      </c>
      <c r="D291" s="2" t="s">
        <v>7</v>
      </c>
      <c r="E291" s="2" t="s">
        <v>65</v>
      </c>
      <c r="F291" s="2" t="s">
        <v>35</v>
      </c>
      <c r="G291" s="2" t="s">
        <v>36</v>
      </c>
      <c r="H291" s="2">
        <v>709.61</v>
      </c>
      <c r="I291" s="2">
        <v>411.23</v>
      </c>
      <c r="J291" s="2">
        <v>298.38</v>
      </c>
      <c r="K291" s="2" t="s">
        <v>21</v>
      </c>
      <c r="L291" s="2"/>
      <c r="M291" s="2">
        <v>4</v>
      </c>
      <c r="N291" s="2" t="s">
        <v>22</v>
      </c>
    </row>
    <row r="292" spans="1:14" x14ac:dyDescent="0.3">
      <c r="A292" s="2" t="s">
        <v>626</v>
      </c>
      <c r="B292" s="2" t="s">
        <v>627</v>
      </c>
      <c r="C292" s="2" t="s">
        <v>111</v>
      </c>
      <c r="D292" s="2" t="s">
        <v>33</v>
      </c>
      <c r="E292" s="2" t="s">
        <v>105</v>
      </c>
      <c r="F292" s="2" t="s">
        <v>40</v>
      </c>
      <c r="G292" s="2" t="s">
        <v>28</v>
      </c>
      <c r="H292" s="2">
        <v>2638.67</v>
      </c>
      <c r="I292" s="2">
        <v>1511.93</v>
      </c>
      <c r="J292" s="2">
        <v>1126.74</v>
      </c>
      <c r="K292" s="2" t="s">
        <v>21</v>
      </c>
      <c r="L292" s="2"/>
      <c r="M292" s="2">
        <v>4</v>
      </c>
      <c r="N292" s="2" t="s">
        <v>22</v>
      </c>
    </row>
    <row r="293" spans="1:14" x14ac:dyDescent="0.3">
      <c r="A293" s="2" t="s">
        <v>628</v>
      </c>
      <c r="B293" s="2" t="s">
        <v>629</v>
      </c>
      <c r="C293" s="2" t="s">
        <v>54</v>
      </c>
      <c r="D293" s="2" t="s">
        <v>33</v>
      </c>
      <c r="E293" s="2" t="s">
        <v>171</v>
      </c>
      <c r="F293" s="2" t="s">
        <v>87</v>
      </c>
      <c r="G293" s="2" t="s">
        <v>20</v>
      </c>
      <c r="H293" s="2">
        <v>1481.82</v>
      </c>
      <c r="I293" s="2">
        <v>1080.23</v>
      </c>
      <c r="J293" s="2">
        <v>401.59</v>
      </c>
      <c r="K293" s="2" t="s">
        <v>21</v>
      </c>
      <c r="L293" s="2"/>
      <c r="M293" s="2">
        <v>4</v>
      </c>
      <c r="N293" s="2" t="s">
        <v>22</v>
      </c>
    </row>
    <row r="294" spans="1:14" x14ac:dyDescent="0.3">
      <c r="A294" s="2" t="s">
        <v>630</v>
      </c>
      <c r="B294" s="2" t="s">
        <v>631</v>
      </c>
      <c r="C294" s="2" t="s">
        <v>124</v>
      </c>
      <c r="D294" s="2" t="s">
        <v>7</v>
      </c>
      <c r="E294" s="2" t="s">
        <v>182</v>
      </c>
      <c r="F294" s="2" t="s">
        <v>40</v>
      </c>
      <c r="G294" s="2" t="s">
        <v>44</v>
      </c>
      <c r="H294" s="2">
        <v>1705.25</v>
      </c>
      <c r="I294" s="2">
        <v>1025.25</v>
      </c>
      <c r="J294" s="2">
        <v>680</v>
      </c>
      <c r="K294" s="2" t="s">
        <v>21</v>
      </c>
      <c r="L294" s="2"/>
      <c r="M294" s="2">
        <v>3</v>
      </c>
      <c r="N294" s="2" t="s">
        <v>22</v>
      </c>
    </row>
    <row r="295" spans="1:14" x14ac:dyDescent="0.3">
      <c r="A295" s="2" t="s">
        <v>632</v>
      </c>
      <c r="B295" s="2" t="s">
        <v>633</v>
      </c>
      <c r="C295" s="2" t="s">
        <v>64</v>
      </c>
      <c r="D295" s="2" t="s">
        <v>59</v>
      </c>
      <c r="E295" s="2" t="s">
        <v>155</v>
      </c>
      <c r="F295" s="2" t="s">
        <v>19</v>
      </c>
      <c r="G295" s="2" t="s">
        <v>97</v>
      </c>
      <c r="H295" s="2">
        <v>3098.44</v>
      </c>
      <c r="I295" s="2">
        <v>2024.86</v>
      </c>
      <c r="J295" s="2">
        <v>1073.58</v>
      </c>
      <c r="K295" s="2" t="s">
        <v>21</v>
      </c>
      <c r="L295" s="2"/>
      <c r="M295" s="2">
        <v>5</v>
      </c>
      <c r="N295" s="2" t="s">
        <v>22</v>
      </c>
    </row>
    <row r="296" spans="1:14" x14ac:dyDescent="0.3">
      <c r="A296" s="2" t="s">
        <v>634</v>
      </c>
      <c r="B296" s="2" t="s">
        <v>435</v>
      </c>
      <c r="C296" s="2" t="s">
        <v>635</v>
      </c>
      <c r="D296" s="2" t="s">
        <v>59</v>
      </c>
      <c r="E296" s="2"/>
      <c r="F296" s="2" t="s">
        <v>27</v>
      </c>
      <c r="G296" s="2" t="s">
        <v>28</v>
      </c>
      <c r="H296" s="2">
        <v>270.16000000000003</v>
      </c>
      <c r="I296" s="2">
        <v>164.47</v>
      </c>
      <c r="J296" s="2">
        <v>105.69</v>
      </c>
      <c r="K296" s="2" t="s">
        <v>21</v>
      </c>
      <c r="L296" s="2"/>
      <c r="M296" s="2">
        <v>3</v>
      </c>
      <c r="N296" s="2" t="s">
        <v>22</v>
      </c>
    </row>
    <row r="297" spans="1:14" x14ac:dyDescent="0.3">
      <c r="A297" s="2" t="s">
        <v>636</v>
      </c>
      <c r="B297" s="2" t="s">
        <v>293</v>
      </c>
      <c r="C297" s="2" t="s">
        <v>76</v>
      </c>
      <c r="D297" s="2" t="s">
        <v>33</v>
      </c>
      <c r="E297" s="2" t="s">
        <v>171</v>
      </c>
      <c r="F297" s="2" t="s">
        <v>40</v>
      </c>
      <c r="G297" s="2" t="s">
        <v>28</v>
      </c>
      <c r="H297" s="2">
        <v>2835.93</v>
      </c>
      <c r="I297" s="2">
        <v>1852.86</v>
      </c>
      <c r="J297" s="2">
        <v>983.07</v>
      </c>
      <c r="K297" s="2" t="s">
        <v>21</v>
      </c>
      <c r="L297" s="2"/>
      <c r="M297" s="2">
        <v>4</v>
      </c>
      <c r="N297" s="2" t="s">
        <v>22</v>
      </c>
    </row>
    <row r="298" spans="1:14" x14ac:dyDescent="0.3">
      <c r="A298" s="2" t="s">
        <v>637</v>
      </c>
      <c r="B298" s="2" t="s">
        <v>638</v>
      </c>
      <c r="C298" s="2" t="s">
        <v>68</v>
      </c>
      <c r="D298" s="2" t="s">
        <v>33</v>
      </c>
      <c r="E298" s="2" t="s">
        <v>297</v>
      </c>
      <c r="F298" s="2" t="s">
        <v>19</v>
      </c>
      <c r="G298" s="2" t="s">
        <v>44</v>
      </c>
      <c r="H298" s="2">
        <v>2685.99</v>
      </c>
      <c r="I298" s="2">
        <v>2038.65</v>
      </c>
      <c r="J298" s="2">
        <v>647.34</v>
      </c>
      <c r="K298" s="2" t="s">
        <v>21</v>
      </c>
      <c r="L298" s="2"/>
      <c r="M298" s="2">
        <v>5</v>
      </c>
      <c r="N298" s="2" t="s">
        <v>22</v>
      </c>
    </row>
    <row r="299" spans="1:14" x14ac:dyDescent="0.3">
      <c r="A299" s="2" t="s">
        <v>639</v>
      </c>
      <c r="B299" s="2" t="s">
        <v>640</v>
      </c>
      <c r="C299" s="2" t="s">
        <v>111</v>
      </c>
      <c r="D299" s="2" t="s">
        <v>375</v>
      </c>
      <c r="E299" s="2" t="s">
        <v>43</v>
      </c>
      <c r="F299" s="2" t="s">
        <v>87</v>
      </c>
      <c r="G299" s="2" t="s">
        <v>44</v>
      </c>
      <c r="H299" s="2">
        <v>3320.01</v>
      </c>
      <c r="I299" s="2">
        <v>2913.75</v>
      </c>
      <c r="J299" s="2">
        <v>406.26</v>
      </c>
      <c r="K299" s="2" t="s">
        <v>21</v>
      </c>
      <c r="L299" s="2"/>
      <c r="M299" s="2">
        <v>5</v>
      </c>
      <c r="N299" s="2" t="s">
        <v>22</v>
      </c>
    </row>
    <row r="300" spans="1:14" x14ac:dyDescent="0.3">
      <c r="A300" s="2" t="s">
        <v>641</v>
      </c>
      <c r="B300" s="2" t="s">
        <v>642</v>
      </c>
      <c r="C300" s="2" t="s">
        <v>64</v>
      </c>
      <c r="D300" s="2" t="s">
        <v>33</v>
      </c>
      <c r="E300" s="2" t="s">
        <v>297</v>
      </c>
      <c r="F300" s="2" t="s">
        <v>40</v>
      </c>
      <c r="G300" s="2" t="s">
        <v>73</v>
      </c>
      <c r="H300" s="2">
        <v>593.34</v>
      </c>
      <c r="I300" s="2">
        <v>377.7</v>
      </c>
      <c r="J300" s="2">
        <v>215.64</v>
      </c>
      <c r="K300" s="2" t="s">
        <v>21</v>
      </c>
      <c r="L300" s="2"/>
      <c r="M300" s="2">
        <v>4</v>
      </c>
      <c r="N300" s="2" t="s">
        <v>22</v>
      </c>
    </row>
    <row r="301" spans="1:14" x14ac:dyDescent="0.3">
      <c r="A301" s="2" t="s">
        <v>643</v>
      </c>
      <c r="B301" s="2" t="s">
        <v>644</v>
      </c>
      <c r="C301" s="2" t="s">
        <v>64</v>
      </c>
      <c r="D301" s="2" t="s">
        <v>42</v>
      </c>
      <c r="E301" s="2" t="s">
        <v>47</v>
      </c>
      <c r="F301" s="2" t="s">
        <v>87</v>
      </c>
      <c r="G301" s="2" t="s">
        <v>20</v>
      </c>
      <c r="H301" s="2">
        <v>205.71</v>
      </c>
      <c r="I301" s="2">
        <v>160.30000000000001</v>
      </c>
      <c r="J301" s="2">
        <v>45.41</v>
      </c>
      <c r="K301" s="2" t="s">
        <v>21</v>
      </c>
      <c r="L301" s="2"/>
      <c r="M301" s="2">
        <v>5</v>
      </c>
      <c r="N301" s="2" t="s">
        <v>29</v>
      </c>
    </row>
    <row r="302" spans="1:14" x14ac:dyDescent="0.3">
      <c r="A302" s="2" t="s">
        <v>645</v>
      </c>
      <c r="B302" s="2" t="s">
        <v>103</v>
      </c>
      <c r="C302" s="2" t="s">
        <v>104</v>
      </c>
      <c r="D302" s="2" t="s">
        <v>59</v>
      </c>
      <c r="E302" s="2" t="s">
        <v>490</v>
      </c>
      <c r="F302" s="2" t="s">
        <v>61</v>
      </c>
      <c r="G302" s="2" t="s">
        <v>36</v>
      </c>
      <c r="H302" s="2">
        <v>1018.84</v>
      </c>
      <c r="I302" s="2">
        <v>672.33</v>
      </c>
      <c r="J302" s="2">
        <v>346.51</v>
      </c>
      <c r="K302" s="2" t="s">
        <v>21</v>
      </c>
      <c r="L302" s="2"/>
      <c r="M302" s="2">
        <v>4</v>
      </c>
      <c r="N302" s="2" t="s">
        <v>22</v>
      </c>
    </row>
    <row r="303" spans="1:14" x14ac:dyDescent="0.3">
      <c r="A303" s="2" t="s">
        <v>646</v>
      </c>
      <c r="B303" s="2" t="s">
        <v>647</v>
      </c>
      <c r="C303" s="2" t="s">
        <v>32</v>
      </c>
      <c r="D303" s="2" t="s">
        <v>328</v>
      </c>
      <c r="E303" s="2" t="s">
        <v>18</v>
      </c>
      <c r="F303" s="2" t="s">
        <v>19</v>
      </c>
      <c r="G303" s="2" t="s">
        <v>73</v>
      </c>
      <c r="H303" s="2">
        <v>3218.11</v>
      </c>
      <c r="I303" s="2">
        <v>2027.36</v>
      </c>
      <c r="J303" s="2">
        <v>1190.75</v>
      </c>
      <c r="K303" s="2" t="s">
        <v>21</v>
      </c>
      <c r="L303" s="2"/>
      <c r="M303" s="2">
        <v>5</v>
      </c>
      <c r="N303" s="2" t="s">
        <v>29</v>
      </c>
    </row>
    <row r="304" spans="1:14" x14ac:dyDescent="0.3">
      <c r="A304" s="2" t="s">
        <v>648</v>
      </c>
      <c r="B304" s="2" t="s">
        <v>517</v>
      </c>
      <c r="C304" s="2" t="s">
        <v>32</v>
      </c>
      <c r="D304" s="2" t="s">
        <v>59</v>
      </c>
      <c r="E304" s="2" t="s">
        <v>194</v>
      </c>
      <c r="F304" s="2" t="s">
        <v>40</v>
      </c>
      <c r="G304" s="2" t="s">
        <v>73</v>
      </c>
      <c r="H304" s="2">
        <v>1574.42</v>
      </c>
      <c r="I304" s="2">
        <v>968.54</v>
      </c>
      <c r="J304" s="2">
        <v>605.88</v>
      </c>
      <c r="K304" s="2" t="s">
        <v>21</v>
      </c>
      <c r="L304" s="2"/>
      <c r="M304" s="2">
        <v>4</v>
      </c>
      <c r="N304" s="2" t="s">
        <v>22</v>
      </c>
    </row>
    <row r="305" spans="1:14" x14ac:dyDescent="0.3">
      <c r="A305" s="2" t="s">
        <v>649</v>
      </c>
      <c r="B305" s="2" t="s">
        <v>534</v>
      </c>
      <c r="C305" s="2" t="s">
        <v>16</v>
      </c>
      <c r="D305" s="2" t="s">
        <v>59</v>
      </c>
      <c r="E305" s="2" t="s">
        <v>194</v>
      </c>
      <c r="F305" s="2" t="s">
        <v>84</v>
      </c>
      <c r="G305" s="2" t="s">
        <v>176</v>
      </c>
      <c r="H305" s="2">
        <v>3252.81</v>
      </c>
      <c r="I305" s="2">
        <v>2438.23</v>
      </c>
      <c r="J305" s="2">
        <v>814.58</v>
      </c>
      <c r="K305" s="2" t="s">
        <v>21</v>
      </c>
      <c r="L305" s="2"/>
      <c r="M305" s="2">
        <v>5</v>
      </c>
      <c r="N305" s="2" t="s">
        <v>22</v>
      </c>
    </row>
    <row r="306" spans="1:14" x14ac:dyDescent="0.3">
      <c r="A306" s="2" t="s">
        <v>650</v>
      </c>
      <c r="B306" s="2" t="s">
        <v>651</v>
      </c>
      <c r="C306" s="2" t="s">
        <v>179</v>
      </c>
      <c r="D306" s="2" t="s">
        <v>17</v>
      </c>
      <c r="E306" s="2" t="s">
        <v>226</v>
      </c>
      <c r="F306" s="2" t="s">
        <v>19</v>
      </c>
      <c r="G306" s="2" t="s">
        <v>44</v>
      </c>
      <c r="H306" s="2">
        <v>2473.77</v>
      </c>
      <c r="I306" s="2">
        <v>1384.56</v>
      </c>
      <c r="J306" s="2">
        <v>1089.21</v>
      </c>
      <c r="K306" s="2" t="s">
        <v>652</v>
      </c>
      <c r="L306" s="2"/>
      <c r="M306" s="2">
        <v>5</v>
      </c>
      <c r="N306" s="2" t="s">
        <v>22</v>
      </c>
    </row>
    <row r="307" spans="1:14" x14ac:dyDescent="0.3">
      <c r="A307" s="2" t="s">
        <v>653</v>
      </c>
      <c r="B307" s="2" t="s">
        <v>344</v>
      </c>
      <c r="C307" s="2" t="s">
        <v>64</v>
      </c>
      <c r="D307" s="2" t="s">
        <v>59</v>
      </c>
      <c r="E307" s="2" t="s">
        <v>108</v>
      </c>
      <c r="F307" s="2" t="s">
        <v>40</v>
      </c>
      <c r="G307" s="2" t="s">
        <v>44</v>
      </c>
      <c r="H307" s="2">
        <v>820.26</v>
      </c>
      <c r="I307" s="2">
        <v>533.64</v>
      </c>
      <c r="J307" s="2">
        <v>286.62</v>
      </c>
      <c r="K307" s="2" t="s">
        <v>21</v>
      </c>
      <c r="L307" s="2"/>
      <c r="M307" s="2">
        <v>5</v>
      </c>
      <c r="N307" s="2" t="s">
        <v>22</v>
      </c>
    </row>
    <row r="308" spans="1:14" x14ac:dyDescent="0.3">
      <c r="A308" s="2" t="s">
        <v>654</v>
      </c>
      <c r="B308" s="2" t="s">
        <v>184</v>
      </c>
      <c r="C308" s="2" t="s">
        <v>179</v>
      </c>
      <c r="D308" s="2" t="s">
        <v>42</v>
      </c>
      <c r="E308" s="2" t="s">
        <v>80</v>
      </c>
      <c r="F308" s="2" t="s">
        <v>35</v>
      </c>
      <c r="G308" s="2" t="s">
        <v>36</v>
      </c>
      <c r="H308" s="2">
        <v>3824.23</v>
      </c>
      <c r="I308" s="2">
        <v>3066.81</v>
      </c>
      <c r="J308" s="2">
        <v>757.42</v>
      </c>
      <c r="K308" s="2" t="s">
        <v>56</v>
      </c>
      <c r="L308" s="2">
        <v>14</v>
      </c>
      <c r="M308" s="2">
        <v>1</v>
      </c>
      <c r="N308" s="2" t="s">
        <v>22</v>
      </c>
    </row>
    <row r="309" spans="1:14" x14ac:dyDescent="0.3">
      <c r="A309" s="2" t="s">
        <v>655</v>
      </c>
      <c r="B309" s="2" t="s">
        <v>656</v>
      </c>
      <c r="C309" s="2" t="s">
        <v>25</v>
      </c>
      <c r="D309" s="2" t="s">
        <v>59</v>
      </c>
      <c r="E309" s="2" t="s">
        <v>155</v>
      </c>
      <c r="F309" s="2" t="s">
        <v>87</v>
      </c>
      <c r="G309" s="2" t="s">
        <v>44</v>
      </c>
      <c r="H309" s="2">
        <v>1986.31</v>
      </c>
      <c r="I309" s="2">
        <v>1222.8499999999999</v>
      </c>
      <c r="J309" s="2">
        <v>763.46</v>
      </c>
      <c r="K309" s="2" t="s">
        <v>21</v>
      </c>
      <c r="L309" s="2"/>
      <c r="M309" s="2">
        <v>3</v>
      </c>
      <c r="N309" s="2" t="s">
        <v>29</v>
      </c>
    </row>
    <row r="310" spans="1:14" x14ac:dyDescent="0.3">
      <c r="A310" s="2" t="s">
        <v>657</v>
      </c>
      <c r="B310" s="2" t="s">
        <v>658</v>
      </c>
      <c r="C310" s="2" t="s">
        <v>115</v>
      </c>
      <c r="D310" s="2" t="s">
        <v>33</v>
      </c>
      <c r="E310" s="2" t="s">
        <v>119</v>
      </c>
      <c r="F310" s="2" t="s">
        <v>61</v>
      </c>
      <c r="G310" s="2" t="s">
        <v>73</v>
      </c>
      <c r="H310" s="2">
        <v>802.84</v>
      </c>
      <c r="I310" s="2">
        <v>610.16</v>
      </c>
      <c r="J310" s="2">
        <v>192.68</v>
      </c>
      <c r="K310" s="2" t="s">
        <v>21</v>
      </c>
      <c r="L310" s="2"/>
      <c r="M310" s="2">
        <v>5</v>
      </c>
      <c r="N310" s="2" t="s">
        <v>22</v>
      </c>
    </row>
    <row r="311" spans="1:14" x14ac:dyDescent="0.3">
      <c r="A311" s="2" t="s">
        <v>659</v>
      </c>
      <c r="B311" s="2" t="s">
        <v>660</v>
      </c>
      <c r="C311" s="2" t="s">
        <v>32</v>
      </c>
      <c r="D311" s="2" t="s">
        <v>33</v>
      </c>
      <c r="E311" s="2" t="s">
        <v>39</v>
      </c>
      <c r="F311" s="2" t="s">
        <v>40</v>
      </c>
      <c r="G311" s="2" t="s">
        <v>36</v>
      </c>
      <c r="H311" s="2">
        <v>4944.26</v>
      </c>
      <c r="I311" s="2">
        <v>3526.57</v>
      </c>
      <c r="J311" s="2">
        <v>1417.69</v>
      </c>
      <c r="K311" s="2" t="s">
        <v>56</v>
      </c>
      <c r="L311" s="2">
        <v>8</v>
      </c>
      <c r="M311" s="2">
        <v>2</v>
      </c>
      <c r="N311" s="2" t="s">
        <v>29</v>
      </c>
    </row>
    <row r="312" spans="1:14" x14ac:dyDescent="0.3">
      <c r="A312" s="2" t="s">
        <v>661</v>
      </c>
      <c r="B312" s="2" t="s">
        <v>662</v>
      </c>
      <c r="C312" s="2" t="s">
        <v>68</v>
      </c>
      <c r="D312" s="2" t="s">
        <v>59</v>
      </c>
      <c r="E312" s="2" t="s">
        <v>308</v>
      </c>
      <c r="F312" s="2" t="s">
        <v>27</v>
      </c>
      <c r="G312" s="2" t="s">
        <v>20</v>
      </c>
      <c r="H312" s="2">
        <v>583.22</v>
      </c>
      <c r="I312" s="2">
        <v>446.64</v>
      </c>
      <c r="J312" s="2">
        <v>136.58000000000001</v>
      </c>
      <c r="K312" s="2" t="s">
        <v>21</v>
      </c>
      <c r="L312" s="2"/>
      <c r="M312" s="2">
        <v>3</v>
      </c>
      <c r="N312" s="2" t="s">
        <v>22</v>
      </c>
    </row>
    <row r="313" spans="1:14" x14ac:dyDescent="0.3">
      <c r="A313" s="2" t="s">
        <v>663</v>
      </c>
      <c r="B313" s="2" t="s">
        <v>207</v>
      </c>
      <c r="C313" s="2" t="s">
        <v>115</v>
      </c>
      <c r="D313" s="2" t="s">
        <v>59</v>
      </c>
      <c r="E313" s="2" t="s">
        <v>308</v>
      </c>
      <c r="F313" s="2" t="s">
        <v>27</v>
      </c>
      <c r="G313" s="2" t="s">
        <v>73</v>
      </c>
      <c r="H313" s="2">
        <v>2611.63</v>
      </c>
      <c r="I313" s="2">
        <v>2082.64</v>
      </c>
      <c r="J313" s="2">
        <v>528.99</v>
      </c>
      <c r="K313" s="2" t="s">
        <v>21</v>
      </c>
      <c r="L313" s="2"/>
      <c r="M313" s="2">
        <v>4</v>
      </c>
      <c r="N313" s="2" t="s">
        <v>22</v>
      </c>
    </row>
    <row r="314" spans="1:14" x14ac:dyDescent="0.3">
      <c r="A314" s="2" t="s">
        <v>664</v>
      </c>
      <c r="B314" s="2" t="s">
        <v>411</v>
      </c>
      <c r="C314" s="2" t="s">
        <v>179</v>
      </c>
      <c r="D314" s="2" t="s">
        <v>33</v>
      </c>
      <c r="E314" s="2" t="s">
        <v>297</v>
      </c>
      <c r="F314" s="2" t="s">
        <v>27</v>
      </c>
      <c r="G314" s="2" t="s">
        <v>20</v>
      </c>
      <c r="H314" s="2">
        <v>2080</v>
      </c>
      <c r="I314" s="2">
        <v>1365.25</v>
      </c>
      <c r="J314" s="2">
        <v>714.75</v>
      </c>
      <c r="K314" s="2" t="s">
        <v>21</v>
      </c>
      <c r="L314" s="2"/>
      <c r="M314" s="2">
        <v>5</v>
      </c>
      <c r="N314" s="2" t="s">
        <v>22</v>
      </c>
    </row>
    <row r="315" spans="1:14" x14ac:dyDescent="0.3">
      <c r="A315" s="2" t="s">
        <v>499</v>
      </c>
      <c r="B315" s="2" t="s">
        <v>184</v>
      </c>
      <c r="C315" s="2" t="s">
        <v>179</v>
      </c>
      <c r="D315" s="2" t="s">
        <v>59</v>
      </c>
      <c r="E315" s="2" t="s">
        <v>60</v>
      </c>
      <c r="F315" s="2" t="s">
        <v>35</v>
      </c>
      <c r="G315" s="2" t="s">
        <v>20</v>
      </c>
      <c r="H315" s="2">
        <v>1437.37</v>
      </c>
      <c r="I315" s="2">
        <v>976.51</v>
      </c>
      <c r="J315" s="2">
        <v>460.86</v>
      </c>
      <c r="K315" s="2" t="s">
        <v>101</v>
      </c>
      <c r="L315" s="2"/>
      <c r="M315" s="2">
        <v>4</v>
      </c>
      <c r="N315" s="2" t="s">
        <v>22</v>
      </c>
    </row>
    <row r="316" spans="1:14" x14ac:dyDescent="0.3">
      <c r="A316" s="2" t="s">
        <v>665</v>
      </c>
      <c r="B316" s="2" t="s">
        <v>58</v>
      </c>
      <c r="C316" s="2" t="s">
        <v>54</v>
      </c>
      <c r="D316" s="2" t="s">
        <v>17</v>
      </c>
      <c r="E316" s="2" t="s">
        <v>100</v>
      </c>
      <c r="F316" s="2" t="s">
        <v>27</v>
      </c>
      <c r="G316" s="2" t="s">
        <v>20</v>
      </c>
      <c r="H316" s="2">
        <v>1543.08</v>
      </c>
      <c r="I316" s="2">
        <v>1060.57</v>
      </c>
      <c r="J316" s="2">
        <v>482.51</v>
      </c>
      <c r="K316" s="2" t="s">
        <v>21</v>
      </c>
      <c r="L316" s="2"/>
      <c r="M316" s="2">
        <v>5</v>
      </c>
      <c r="N316" s="2" t="s">
        <v>22</v>
      </c>
    </row>
    <row r="317" spans="1:14" x14ac:dyDescent="0.3">
      <c r="A317" s="2" t="s">
        <v>666</v>
      </c>
      <c r="B317" s="2" t="s">
        <v>667</v>
      </c>
      <c r="C317" s="2" t="s">
        <v>104</v>
      </c>
      <c r="D317" s="2" t="s">
        <v>17</v>
      </c>
      <c r="E317" s="2" t="s">
        <v>51</v>
      </c>
      <c r="F317" s="2" t="s">
        <v>27</v>
      </c>
      <c r="G317" s="2" t="s">
        <v>36</v>
      </c>
      <c r="H317" s="2">
        <v>220.51</v>
      </c>
      <c r="I317" s="2">
        <v>130.26</v>
      </c>
      <c r="J317" s="2">
        <v>90.25</v>
      </c>
      <c r="K317" s="2" t="s">
        <v>21</v>
      </c>
      <c r="L317" s="2"/>
      <c r="M317" s="2">
        <v>3</v>
      </c>
      <c r="N317" s="2" t="s">
        <v>29</v>
      </c>
    </row>
    <row r="318" spans="1:14" x14ac:dyDescent="0.3">
      <c r="A318" s="2" t="s">
        <v>668</v>
      </c>
      <c r="B318" s="2" t="s">
        <v>669</v>
      </c>
      <c r="C318" s="2" t="s">
        <v>16</v>
      </c>
      <c r="D318" s="2" t="s">
        <v>42</v>
      </c>
      <c r="E318" s="2" t="s">
        <v>80</v>
      </c>
      <c r="F318" s="2" t="s">
        <v>19</v>
      </c>
      <c r="G318" s="2" t="s">
        <v>20</v>
      </c>
      <c r="H318" s="2">
        <v>274.02999999999997</v>
      </c>
      <c r="I318" s="2">
        <v>226.3</v>
      </c>
      <c r="J318" s="2">
        <v>47.73</v>
      </c>
      <c r="K318" s="2" t="s">
        <v>21</v>
      </c>
      <c r="L318" s="2"/>
      <c r="M318" s="2">
        <v>1</v>
      </c>
      <c r="N318" s="2" t="s">
        <v>29</v>
      </c>
    </row>
    <row r="319" spans="1:14" x14ac:dyDescent="0.3">
      <c r="A319" s="2" t="s">
        <v>670</v>
      </c>
      <c r="B319" s="2" t="s">
        <v>671</v>
      </c>
      <c r="C319" s="2" t="s">
        <v>124</v>
      </c>
      <c r="D319" s="2" t="s">
        <v>42</v>
      </c>
      <c r="E319" s="2" t="s">
        <v>77</v>
      </c>
      <c r="F319" s="2" t="s">
        <v>35</v>
      </c>
      <c r="G319" s="2" t="s">
        <v>36</v>
      </c>
      <c r="H319" s="2">
        <v>441.54</v>
      </c>
      <c r="I319" s="2">
        <v>363.12</v>
      </c>
      <c r="J319" s="2">
        <v>78.42</v>
      </c>
      <c r="K319" s="2" t="s">
        <v>21</v>
      </c>
      <c r="L319" s="2"/>
      <c r="M319" s="2">
        <v>5</v>
      </c>
      <c r="N319" s="2" t="s">
        <v>29</v>
      </c>
    </row>
    <row r="320" spans="1:14" x14ac:dyDescent="0.3">
      <c r="A320" s="2" t="s">
        <v>672</v>
      </c>
      <c r="B320" s="2" t="s">
        <v>673</v>
      </c>
      <c r="C320" s="2" t="s">
        <v>76</v>
      </c>
      <c r="D320" s="2" t="s">
        <v>59</v>
      </c>
      <c r="E320" s="2" t="s">
        <v>308</v>
      </c>
      <c r="F320" s="2" t="s">
        <v>84</v>
      </c>
      <c r="G320" s="2" t="s">
        <v>44</v>
      </c>
      <c r="H320" s="2">
        <v>1254.8399999999999</v>
      </c>
      <c r="I320" s="2">
        <v>907.77</v>
      </c>
      <c r="J320" s="2">
        <v>347.07</v>
      </c>
      <c r="K320" s="2" t="s">
        <v>21</v>
      </c>
      <c r="L320" s="2"/>
      <c r="M320" s="2">
        <v>5</v>
      </c>
      <c r="N320" s="2" t="s">
        <v>29</v>
      </c>
    </row>
    <row r="321" spans="1:14" x14ac:dyDescent="0.3">
      <c r="A321" s="2" t="s">
        <v>674</v>
      </c>
      <c r="B321" s="2" t="s">
        <v>675</v>
      </c>
      <c r="C321" s="2" t="s">
        <v>54</v>
      </c>
      <c r="D321" s="2" t="s">
        <v>328</v>
      </c>
      <c r="E321" s="2" t="s">
        <v>72</v>
      </c>
      <c r="F321" s="2" t="s">
        <v>35</v>
      </c>
      <c r="G321" s="2" t="s">
        <v>28</v>
      </c>
      <c r="H321" s="2">
        <v>590.25</v>
      </c>
      <c r="I321" s="2">
        <v>465.95</v>
      </c>
      <c r="J321" s="2">
        <v>124.3</v>
      </c>
      <c r="K321" s="2" t="s">
        <v>56</v>
      </c>
      <c r="L321" s="2">
        <v>3</v>
      </c>
      <c r="M321" s="2">
        <v>1</v>
      </c>
      <c r="N321" s="2" t="s">
        <v>22</v>
      </c>
    </row>
    <row r="322" spans="1:14" x14ac:dyDescent="0.3">
      <c r="A322" s="2" t="s">
        <v>676</v>
      </c>
      <c r="B322" s="2" t="s">
        <v>497</v>
      </c>
      <c r="C322" s="2" t="s">
        <v>32</v>
      </c>
      <c r="D322" s="2" t="s">
        <v>33</v>
      </c>
      <c r="E322" s="2" t="s">
        <v>171</v>
      </c>
      <c r="F322" s="2" t="s">
        <v>35</v>
      </c>
      <c r="G322" s="2" t="s">
        <v>73</v>
      </c>
      <c r="H322" s="2">
        <v>299.12</v>
      </c>
      <c r="I322" s="2">
        <v>189.39</v>
      </c>
      <c r="J322" s="2">
        <v>109.73</v>
      </c>
      <c r="K322" s="2" t="s">
        <v>21</v>
      </c>
      <c r="L322" s="2"/>
      <c r="M322" s="2">
        <v>2</v>
      </c>
      <c r="N322" s="2" t="s">
        <v>22</v>
      </c>
    </row>
    <row r="323" spans="1:14" x14ac:dyDescent="0.3">
      <c r="A323" s="2" t="s">
        <v>677</v>
      </c>
      <c r="B323" s="2" t="s">
        <v>678</v>
      </c>
      <c r="C323" s="2" t="s">
        <v>111</v>
      </c>
      <c r="D323" s="2" t="s">
        <v>42</v>
      </c>
      <c r="E323" s="2" t="s">
        <v>162</v>
      </c>
      <c r="F323" s="2" t="s">
        <v>35</v>
      </c>
      <c r="G323" s="2" t="s">
        <v>73</v>
      </c>
      <c r="H323" s="2">
        <v>2937.24</v>
      </c>
      <c r="I323" s="2">
        <v>2159.09</v>
      </c>
      <c r="J323" s="2">
        <v>778.15</v>
      </c>
      <c r="K323" s="2" t="s">
        <v>21</v>
      </c>
      <c r="L323" s="2"/>
      <c r="M323" s="2">
        <v>5</v>
      </c>
      <c r="N323" s="2" t="s">
        <v>29</v>
      </c>
    </row>
    <row r="324" spans="1:14" x14ac:dyDescent="0.3">
      <c r="A324" s="2" t="s">
        <v>679</v>
      </c>
      <c r="B324" s="2" t="s">
        <v>403</v>
      </c>
      <c r="C324" s="2" t="s">
        <v>64</v>
      </c>
      <c r="D324" s="2" t="s">
        <v>33</v>
      </c>
      <c r="E324" s="2" t="s">
        <v>39</v>
      </c>
      <c r="F324" s="2" t="s">
        <v>84</v>
      </c>
      <c r="G324" s="2" t="s">
        <v>44</v>
      </c>
      <c r="H324" s="2">
        <v>2767.52</v>
      </c>
      <c r="I324" s="2">
        <v>1850.94</v>
      </c>
      <c r="J324" s="2">
        <v>916.58</v>
      </c>
      <c r="K324" s="2" t="s">
        <v>21</v>
      </c>
      <c r="L324" s="2"/>
      <c r="M324" s="2">
        <v>4</v>
      </c>
      <c r="N324" s="2" t="s">
        <v>22</v>
      </c>
    </row>
    <row r="325" spans="1:14" x14ac:dyDescent="0.3">
      <c r="A325" s="2" t="s">
        <v>680</v>
      </c>
      <c r="B325" s="2" t="s">
        <v>638</v>
      </c>
      <c r="C325" s="2" t="s">
        <v>68</v>
      </c>
      <c r="D325" s="2" t="s">
        <v>33</v>
      </c>
      <c r="E325" s="2"/>
      <c r="F325" s="2" t="s">
        <v>35</v>
      </c>
      <c r="G325" s="2" t="s">
        <v>44</v>
      </c>
      <c r="H325" s="2">
        <v>3012.08</v>
      </c>
      <c r="I325" s="2">
        <v>2038.19</v>
      </c>
      <c r="J325" s="2">
        <v>973.89</v>
      </c>
      <c r="K325" s="2" t="s">
        <v>56</v>
      </c>
      <c r="L325" s="2">
        <v>10</v>
      </c>
      <c r="M325" s="2">
        <v>4</v>
      </c>
      <c r="N325" s="2" t="s">
        <v>22</v>
      </c>
    </row>
    <row r="326" spans="1:14" x14ac:dyDescent="0.3">
      <c r="A326" s="2" t="s">
        <v>459</v>
      </c>
      <c r="B326" s="2" t="s">
        <v>460</v>
      </c>
      <c r="C326" s="2" t="s">
        <v>16</v>
      </c>
      <c r="D326" s="2" t="s">
        <v>59</v>
      </c>
      <c r="E326" s="2" t="s">
        <v>108</v>
      </c>
      <c r="F326" s="2" t="s">
        <v>87</v>
      </c>
      <c r="G326" s="2" t="s">
        <v>73</v>
      </c>
      <c r="H326" s="2">
        <v>3336.42</v>
      </c>
      <c r="I326" s="2">
        <v>2120.0700000000002</v>
      </c>
      <c r="J326" s="2">
        <v>1216.3499999999999</v>
      </c>
      <c r="K326" s="2" t="s">
        <v>21</v>
      </c>
      <c r="L326" s="2"/>
      <c r="M326" s="2">
        <v>3</v>
      </c>
      <c r="N326" s="2" t="s">
        <v>22</v>
      </c>
    </row>
    <row r="327" spans="1:14" x14ac:dyDescent="0.3">
      <c r="A327" s="2" t="s">
        <v>681</v>
      </c>
      <c r="B327" s="2" t="s">
        <v>458</v>
      </c>
      <c r="C327" s="2" t="s">
        <v>25</v>
      </c>
      <c r="D327" s="2" t="s">
        <v>42</v>
      </c>
      <c r="E327" s="2" t="s">
        <v>47</v>
      </c>
      <c r="F327" s="2" t="s">
        <v>35</v>
      </c>
      <c r="G327" s="2" t="s">
        <v>73</v>
      </c>
      <c r="H327" s="2">
        <v>310.52</v>
      </c>
      <c r="I327" s="2">
        <v>221.89</v>
      </c>
      <c r="J327" s="2">
        <v>88.63</v>
      </c>
      <c r="K327" s="2" t="s">
        <v>21</v>
      </c>
      <c r="L327" s="2"/>
      <c r="M327" s="2">
        <v>4</v>
      </c>
      <c r="N327" s="2" t="s">
        <v>22</v>
      </c>
    </row>
    <row r="328" spans="1:14" x14ac:dyDescent="0.3">
      <c r="A328" s="2" t="s">
        <v>436</v>
      </c>
      <c r="B328" s="2" t="s">
        <v>437</v>
      </c>
      <c r="C328" s="2" t="s">
        <v>16</v>
      </c>
      <c r="D328" s="2" t="s">
        <v>7</v>
      </c>
      <c r="E328" s="2" t="s">
        <v>69</v>
      </c>
      <c r="F328" s="2" t="s">
        <v>40</v>
      </c>
      <c r="G328" s="2" t="s">
        <v>28</v>
      </c>
      <c r="H328" s="2">
        <v>3287.64</v>
      </c>
      <c r="I328" s="2">
        <v>2598.9899999999998</v>
      </c>
      <c r="J328" s="2">
        <v>688.65</v>
      </c>
      <c r="K328" s="2" t="s">
        <v>90</v>
      </c>
      <c r="L328" s="2"/>
      <c r="M328" s="2">
        <v>5</v>
      </c>
      <c r="N328" s="2" t="s">
        <v>22</v>
      </c>
    </row>
    <row r="329" spans="1:14" x14ac:dyDescent="0.3">
      <c r="A329" s="2" t="s">
        <v>682</v>
      </c>
      <c r="B329" s="2" t="s">
        <v>683</v>
      </c>
      <c r="C329" s="2" t="s">
        <v>124</v>
      </c>
      <c r="D329" s="2" t="s">
        <v>33</v>
      </c>
      <c r="E329" s="2" t="s">
        <v>205</v>
      </c>
      <c r="F329" s="2" t="s">
        <v>35</v>
      </c>
      <c r="G329" s="2" t="s">
        <v>36</v>
      </c>
      <c r="H329" s="2">
        <v>947.56</v>
      </c>
      <c r="I329" s="2">
        <v>550.12</v>
      </c>
      <c r="J329" s="2">
        <v>397.44</v>
      </c>
      <c r="K329" s="2" t="s">
        <v>21</v>
      </c>
      <c r="L329" s="2"/>
      <c r="M329" s="2">
        <v>4</v>
      </c>
      <c r="N329" s="2" t="s">
        <v>22</v>
      </c>
    </row>
    <row r="330" spans="1:14" x14ac:dyDescent="0.3">
      <c r="A330" s="2" t="s">
        <v>684</v>
      </c>
      <c r="B330" s="2" t="s">
        <v>685</v>
      </c>
      <c r="C330" s="2" t="s">
        <v>32</v>
      </c>
      <c r="D330" s="2" t="s">
        <v>59</v>
      </c>
      <c r="E330" s="2" t="s">
        <v>108</v>
      </c>
      <c r="F330" s="2" t="s">
        <v>19</v>
      </c>
      <c r="G330" s="2" t="s">
        <v>36</v>
      </c>
      <c r="H330" s="2">
        <v>1825.24</v>
      </c>
      <c r="I330" s="2">
        <v>1384.99</v>
      </c>
      <c r="J330" s="2">
        <v>440.25</v>
      </c>
      <c r="K330" s="2" t="s">
        <v>21</v>
      </c>
      <c r="L330" s="2"/>
      <c r="M330" s="2">
        <v>5</v>
      </c>
      <c r="N330" s="2" t="s">
        <v>22</v>
      </c>
    </row>
    <row r="331" spans="1:14" x14ac:dyDescent="0.3">
      <c r="A331" s="2" t="s">
        <v>686</v>
      </c>
      <c r="B331" s="2" t="s">
        <v>437</v>
      </c>
      <c r="C331" s="2" t="s">
        <v>16</v>
      </c>
      <c r="D331" s="2" t="s">
        <v>7</v>
      </c>
      <c r="E331" s="2" t="s">
        <v>128</v>
      </c>
      <c r="F331" s="2" t="s">
        <v>19</v>
      </c>
      <c r="G331" s="2" t="s">
        <v>36</v>
      </c>
      <c r="H331" s="2">
        <v>3139.39</v>
      </c>
      <c r="I331" s="2">
        <v>2285.8000000000002</v>
      </c>
      <c r="J331" s="2">
        <v>853.59</v>
      </c>
      <c r="K331" s="2" t="s">
        <v>21</v>
      </c>
      <c r="L331" s="2"/>
      <c r="M331" s="2">
        <v>4</v>
      </c>
      <c r="N331" s="2" t="s">
        <v>22</v>
      </c>
    </row>
    <row r="332" spans="1:14" x14ac:dyDescent="0.3">
      <c r="A332" s="2" t="s">
        <v>687</v>
      </c>
      <c r="B332" s="2" t="s">
        <v>609</v>
      </c>
      <c r="C332" s="2" t="s">
        <v>115</v>
      </c>
      <c r="D332" s="2" t="s">
        <v>59</v>
      </c>
      <c r="E332" s="2" t="s">
        <v>194</v>
      </c>
      <c r="F332" s="2" t="s">
        <v>40</v>
      </c>
      <c r="G332" s="2" t="s">
        <v>36</v>
      </c>
      <c r="H332" s="2">
        <v>1445.76</v>
      </c>
      <c r="I332" s="2">
        <v>1003.6</v>
      </c>
      <c r="J332" s="2">
        <v>442.16</v>
      </c>
      <c r="K332" s="2" t="s">
        <v>21</v>
      </c>
      <c r="L332" s="2"/>
      <c r="M332" s="2">
        <v>5</v>
      </c>
      <c r="N332" s="2" t="s">
        <v>29</v>
      </c>
    </row>
    <row r="333" spans="1:14" x14ac:dyDescent="0.3">
      <c r="A333" s="2" t="s">
        <v>688</v>
      </c>
      <c r="B333" s="2" t="s">
        <v>689</v>
      </c>
      <c r="C333" s="2" t="s">
        <v>111</v>
      </c>
      <c r="D333" s="2" t="s">
        <v>17</v>
      </c>
      <c r="E333" s="2" t="s">
        <v>51</v>
      </c>
      <c r="F333" s="2" t="s">
        <v>40</v>
      </c>
      <c r="G333" s="2" t="s">
        <v>20</v>
      </c>
      <c r="H333" s="2">
        <v>3192.81</v>
      </c>
      <c r="I333" s="2">
        <v>2401.4299999999998</v>
      </c>
      <c r="J333" s="2">
        <v>791.38</v>
      </c>
      <c r="K333" s="2" t="s">
        <v>21</v>
      </c>
      <c r="L333" s="2"/>
      <c r="M333" s="2">
        <v>5</v>
      </c>
      <c r="N333" s="2" t="s">
        <v>22</v>
      </c>
    </row>
    <row r="334" spans="1:14" x14ac:dyDescent="0.3">
      <c r="A334" s="2" t="s">
        <v>690</v>
      </c>
      <c r="B334" s="2" t="s">
        <v>691</v>
      </c>
      <c r="C334" s="2" t="s">
        <v>54</v>
      </c>
      <c r="D334" s="2" t="s">
        <v>17</v>
      </c>
      <c r="E334" s="2" t="s">
        <v>226</v>
      </c>
      <c r="F334" s="2" t="s">
        <v>35</v>
      </c>
      <c r="G334" s="2" t="s">
        <v>36</v>
      </c>
      <c r="H334" s="2">
        <v>559.96</v>
      </c>
      <c r="I334" s="2">
        <v>395.98</v>
      </c>
      <c r="J334" s="2">
        <v>163.98</v>
      </c>
      <c r="K334" s="2" t="s">
        <v>21</v>
      </c>
      <c r="L334" s="2"/>
      <c r="M334" s="2">
        <v>2</v>
      </c>
      <c r="N334" s="2" t="s">
        <v>22</v>
      </c>
    </row>
    <row r="335" spans="1:14" x14ac:dyDescent="0.3">
      <c r="A335" s="2" t="s">
        <v>692</v>
      </c>
      <c r="B335" s="2" t="s">
        <v>683</v>
      </c>
      <c r="C335" s="2" t="s">
        <v>124</v>
      </c>
      <c r="D335" s="2" t="s">
        <v>59</v>
      </c>
      <c r="E335" s="2" t="s">
        <v>116</v>
      </c>
      <c r="F335" s="2" t="s">
        <v>40</v>
      </c>
      <c r="G335" s="2" t="s">
        <v>28</v>
      </c>
      <c r="H335" s="2">
        <v>2276.17</v>
      </c>
      <c r="I335" s="2">
        <v>1295.54</v>
      </c>
      <c r="J335" s="2">
        <v>980.63</v>
      </c>
      <c r="K335" s="2" t="s">
        <v>21</v>
      </c>
      <c r="L335" s="2"/>
      <c r="M335" s="2">
        <v>2</v>
      </c>
      <c r="N335" s="2" t="s">
        <v>22</v>
      </c>
    </row>
    <row r="336" spans="1:14" x14ac:dyDescent="0.3">
      <c r="A336" s="2" t="s">
        <v>693</v>
      </c>
      <c r="B336" s="2" t="s">
        <v>633</v>
      </c>
      <c r="C336" s="2" t="s">
        <v>64</v>
      </c>
      <c r="D336" s="2" t="s">
        <v>42</v>
      </c>
      <c r="E336" s="2" t="s">
        <v>162</v>
      </c>
      <c r="F336" s="2" t="s">
        <v>35</v>
      </c>
      <c r="G336" s="2" t="s">
        <v>28</v>
      </c>
      <c r="H336" s="2">
        <v>1662.49</v>
      </c>
      <c r="I336" s="2">
        <v>1483.23</v>
      </c>
      <c r="J336" s="2">
        <v>179.26</v>
      </c>
      <c r="K336" s="2" t="s">
        <v>56</v>
      </c>
      <c r="L336" s="2">
        <v>12</v>
      </c>
      <c r="M336" s="2">
        <v>1</v>
      </c>
      <c r="N336" s="2" t="s">
        <v>29</v>
      </c>
    </row>
    <row r="337" spans="1:14" x14ac:dyDescent="0.3">
      <c r="A337" s="2" t="s">
        <v>694</v>
      </c>
      <c r="B337" s="2" t="s">
        <v>553</v>
      </c>
      <c r="C337" s="2" t="s">
        <v>179</v>
      </c>
      <c r="D337" s="2" t="s">
        <v>42</v>
      </c>
      <c r="E337" s="2" t="s">
        <v>80</v>
      </c>
      <c r="F337" s="2" t="s">
        <v>19</v>
      </c>
      <c r="G337" s="2" t="s">
        <v>73</v>
      </c>
      <c r="H337" s="2">
        <v>3160.45</v>
      </c>
      <c r="I337" s="2">
        <v>2844.73</v>
      </c>
      <c r="J337" s="2">
        <v>315.72000000000003</v>
      </c>
      <c r="K337" s="2" t="s">
        <v>21</v>
      </c>
      <c r="L337" s="2"/>
      <c r="M337" s="2">
        <v>3</v>
      </c>
      <c r="N337" s="2" t="s">
        <v>22</v>
      </c>
    </row>
    <row r="338" spans="1:14" x14ac:dyDescent="0.3">
      <c r="A338" s="2" t="s">
        <v>556</v>
      </c>
      <c r="B338" s="2" t="s">
        <v>557</v>
      </c>
      <c r="C338" s="2" t="s">
        <v>16</v>
      </c>
      <c r="D338" s="2" t="s">
        <v>59</v>
      </c>
      <c r="E338" s="2" t="s">
        <v>194</v>
      </c>
      <c r="F338" s="2" t="s">
        <v>87</v>
      </c>
      <c r="G338" s="2" t="s">
        <v>558</v>
      </c>
      <c r="H338" s="2">
        <v>936.64</v>
      </c>
      <c r="I338" s="2">
        <v>620.04999999999995</v>
      </c>
      <c r="J338" s="2">
        <v>316.58999999999997</v>
      </c>
      <c r="K338" s="2" t="s">
        <v>90</v>
      </c>
      <c r="L338" s="2"/>
      <c r="M338" s="2">
        <v>5</v>
      </c>
      <c r="N338" s="2" t="s">
        <v>22</v>
      </c>
    </row>
    <row r="339" spans="1:14" x14ac:dyDescent="0.3">
      <c r="A339" s="2" t="s">
        <v>695</v>
      </c>
      <c r="B339" s="2" t="s">
        <v>696</v>
      </c>
      <c r="C339" s="2" t="s">
        <v>179</v>
      </c>
      <c r="D339" s="2" t="s">
        <v>59</v>
      </c>
      <c r="E339" s="2" t="s">
        <v>490</v>
      </c>
      <c r="F339" s="2" t="s">
        <v>40</v>
      </c>
      <c r="G339" s="2" t="s">
        <v>36</v>
      </c>
      <c r="H339" s="2">
        <v>633.91</v>
      </c>
      <c r="I339" s="2">
        <v>465.14</v>
      </c>
      <c r="J339" s="2">
        <v>168.77</v>
      </c>
      <c r="K339" s="2" t="s">
        <v>21</v>
      </c>
      <c r="L339" s="2"/>
      <c r="M339" s="2">
        <v>4</v>
      </c>
      <c r="N339" s="2" t="s">
        <v>29</v>
      </c>
    </row>
    <row r="340" spans="1:14" x14ac:dyDescent="0.3">
      <c r="A340" s="2" t="s">
        <v>697</v>
      </c>
      <c r="B340" s="2" t="s">
        <v>698</v>
      </c>
      <c r="C340" s="2" t="s">
        <v>179</v>
      </c>
      <c r="D340" s="2" t="s">
        <v>42</v>
      </c>
      <c r="E340" s="2" t="s">
        <v>77</v>
      </c>
      <c r="F340" s="2" t="s">
        <v>84</v>
      </c>
      <c r="G340" s="2" t="s">
        <v>44</v>
      </c>
      <c r="H340" s="2">
        <v>1287.46</v>
      </c>
      <c r="I340" s="2">
        <v>1075.3699999999999</v>
      </c>
      <c r="J340" s="2">
        <v>212.09</v>
      </c>
      <c r="K340" s="2" t="s">
        <v>21</v>
      </c>
      <c r="L340" s="2"/>
      <c r="M340" s="2">
        <v>5</v>
      </c>
      <c r="N340" s="2" t="s">
        <v>22</v>
      </c>
    </row>
    <row r="341" spans="1:14" x14ac:dyDescent="0.3">
      <c r="A341" s="2" t="s">
        <v>699</v>
      </c>
      <c r="B341" s="2" t="s">
        <v>700</v>
      </c>
      <c r="C341" s="2" t="s">
        <v>179</v>
      </c>
      <c r="D341" s="2" t="s">
        <v>33</v>
      </c>
      <c r="E341" s="2" t="s">
        <v>105</v>
      </c>
      <c r="F341" s="2" t="s">
        <v>84</v>
      </c>
      <c r="G341" s="2" t="s">
        <v>20</v>
      </c>
      <c r="H341" s="2">
        <v>3076.88</v>
      </c>
      <c r="I341" s="2">
        <v>2157.12</v>
      </c>
      <c r="J341" s="2">
        <v>919.76</v>
      </c>
      <c r="K341" s="2" t="s">
        <v>21</v>
      </c>
      <c r="L341" s="2"/>
      <c r="M341" s="2">
        <v>4</v>
      </c>
      <c r="N341" s="2" t="s">
        <v>22</v>
      </c>
    </row>
    <row r="342" spans="1:14" x14ac:dyDescent="0.3">
      <c r="A342" s="2" t="s">
        <v>701</v>
      </c>
      <c r="B342" s="2" t="s">
        <v>541</v>
      </c>
      <c r="C342" s="2" t="s">
        <v>16</v>
      </c>
      <c r="D342" s="2" t="s">
        <v>7</v>
      </c>
      <c r="E342" s="2" t="s">
        <v>55</v>
      </c>
      <c r="F342" s="2" t="s">
        <v>19</v>
      </c>
      <c r="G342" s="2" t="s">
        <v>44</v>
      </c>
      <c r="H342" s="2">
        <v>918.85</v>
      </c>
      <c r="I342" s="2">
        <v>618.26</v>
      </c>
      <c r="J342" s="2">
        <v>300.58999999999997</v>
      </c>
      <c r="K342" s="2" t="s">
        <v>21</v>
      </c>
      <c r="L342" s="2"/>
      <c r="M342" s="2">
        <v>4</v>
      </c>
      <c r="N342" s="2" t="s">
        <v>22</v>
      </c>
    </row>
    <row r="343" spans="1:14" x14ac:dyDescent="0.3">
      <c r="A343" s="2" t="s">
        <v>702</v>
      </c>
      <c r="B343" s="2" t="s">
        <v>703</v>
      </c>
      <c r="C343" s="2" t="s">
        <v>68</v>
      </c>
      <c r="D343" s="2" t="s">
        <v>59</v>
      </c>
      <c r="E343" s="2" t="s">
        <v>60</v>
      </c>
      <c r="F343" s="2" t="s">
        <v>40</v>
      </c>
      <c r="G343" s="2" t="s">
        <v>73</v>
      </c>
      <c r="H343" s="2">
        <v>2180.1799999999998</v>
      </c>
      <c r="I343" s="2">
        <v>1238.31</v>
      </c>
      <c r="J343" s="2">
        <v>941.87</v>
      </c>
      <c r="K343" s="2" t="s">
        <v>21</v>
      </c>
      <c r="L343" s="2"/>
      <c r="M343" s="2">
        <v>5</v>
      </c>
      <c r="N343" s="2" t="s">
        <v>29</v>
      </c>
    </row>
    <row r="344" spans="1:14" x14ac:dyDescent="0.3">
      <c r="A344" s="2" t="s">
        <v>704</v>
      </c>
      <c r="B344" s="2" t="s">
        <v>705</v>
      </c>
      <c r="C344" s="2" t="s">
        <v>68</v>
      </c>
      <c r="D344" s="2" t="s">
        <v>17</v>
      </c>
      <c r="E344" s="2" t="s">
        <v>72</v>
      </c>
      <c r="F344" s="2" t="s">
        <v>27</v>
      </c>
      <c r="G344" s="2" t="s">
        <v>36</v>
      </c>
      <c r="H344" s="2">
        <v>396.74</v>
      </c>
      <c r="I344" s="2">
        <v>310.11</v>
      </c>
      <c r="J344" s="2">
        <v>86.63</v>
      </c>
      <c r="K344" s="2" t="s">
        <v>652</v>
      </c>
      <c r="L344" s="2"/>
      <c r="M344" s="2">
        <v>3</v>
      </c>
      <c r="N344" s="2" t="s">
        <v>22</v>
      </c>
    </row>
    <row r="345" spans="1:14" x14ac:dyDescent="0.3">
      <c r="A345" s="2" t="s">
        <v>706</v>
      </c>
      <c r="B345" s="2" t="s">
        <v>707</v>
      </c>
      <c r="C345" s="2" t="s">
        <v>25</v>
      </c>
      <c r="D345" s="2" t="s">
        <v>59</v>
      </c>
      <c r="E345" s="2" t="s">
        <v>490</v>
      </c>
      <c r="F345" s="2" t="s">
        <v>19</v>
      </c>
      <c r="G345" s="2" t="s">
        <v>44</v>
      </c>
      <c r="H345" s="2">
        <v>2644.83</v>
      </c>
      <c r="I345" s="2">
        <v>1818.04</v>
      </c>
      <c r="J345" s="2">
        <v>826.79</v>
      </c>
      <c r="K345" s="2" t="s">
        <v>21</v>
      </c>
      <c r="L345" s="2"/>
      <c r="M345" s="2">
        <v>3</v>
      </c>
      <c r="N345" s="2" t="s">
        <v>22</v>
      </c>
    </row>
    <row r="346" spans="1:14" x14ac:dyDescent="0.3">
      <c r="A346" s="2" t="s">
        <v>708</v>
      </c>
      <c r="B346" s="2" t="s">
        <v>709</v>
      </c>
      <c r="C346" s="2" t="s">
        <v>111</v>
      </c>
      <c r="D346" s="2" t="s">
        <v>59</v>
      </c>
      <c r="E346" s="2" t="s">
        <v>108</v>
      </c>
      <c r="F346" s="2" t="s">
        <v>40</v>
      </c>
      <c r="G346" s="2" t="s">
        <v>20</v>
      </c>
      <c r="H346" s="2">
        <v>1400.96</v>
      </c>
      <c r="I346" s="2">
        <v>1085.6099999999999</v>
      </c>
      <c r="J346" s="2">
        <v>315.35000000000002</v>
      </c>
      <c r="K346" s="2" t="s">
        <v>56</v>
      </c>
      <c r="L346" s="2">
        <v>6</v>
      </c>
      <c r="M346" s="2">
        <v>1</v>
      </c>
      <c r="N346" s="2" t="s">
        <v>22</v>
      </c>
    </row>
    <row r="347" spans="1:14" x14ac:dyDescent="0.3">
      <c r="A347" s="2" t="s">
        <v>710</v>
      </c>
      <c r="B347" s="2" t="s">
        <v>711</v>
      </c>
      <c r="C347" s="2" t="s">
        <v>32</v>
      </c>
      <c r="D347" s="2" t="s">
        <v>7</v>
      </c>
      <c r="E347" s="2" t="s">
        <v>134</v>
      </c>
      <c r="F347" s="2" t="s">
        <v>84</v>
      </c>
      <c r="G347" s="2" t="s">
        <v>20</v>
      </c>
      <c r="H347" s="2">
        <v>1533.33</v>
      </c>
      <c r="I347" s="2">
        <v>1157.82</v>
      </c>
      <c r="J347" s="2">
        <v>375.51</v>
      </c>
      <c r="K347" s="2" t="s">
        <v>56</v>
      </c>
      <c r="L347" s="2">
        <v>4</v>
      </c>
      <c r="M347" s="2">
        <v>3</v>
      </c>
      <c r="N347" s="2" t="s">
        <v>22</v>
      </c>
    </row>
    <row r="348" spans="1:14" x14ac:dyDescent="0.3">
      <c r="A348" s="2" t="s">
        <v>712</v>
      </c>
      <c r="B348" s="2" t="s">
        <v>458</v>
      </c>
      <c r="C348" s="2" t="s">
        <v>25</v>
      </c>
      <c r="D348" s="2" t="s">
        <v>7</v>
      </c>
      <c r="E348" s="2" t="s">
        <v>55</v>
      </c>
      <c r="F348" s="2" t="s">
        <v>40</v>
      </c>
      <c r="G348" s="2" t="s">
        <v>36</v>
      </c>
      <c r="H348" s="2">
        <v>663.81</v>
      </c>
      <c r="I348" s="2">
        <v>427.23</v>
      </c>
      <c r="J348" s="2">
        <v>236.58</v>
      </c>
      <c r="K348" s="2" t="s">
        <v>21</v>
      </c>
      <c r="L348" s="2"/>
      <c r="M348" s="2">
        <v>5</v>
      </c>
      <c r="N348" s="2" t="s">
        <v>22</v>
      </c>
    </row>
    <row r="349" spans="1:14" x14ac:dyDescent="0.3">
      <c r="A349" s="2" t="s">
        <v>713</v>
      </c>
      <c r="B349" s="2" t="s">
        <v>714</v>
      </c>
      <c r="C349" s="2" t="s">
        <v>115</v>
      </c>
      <c r="D349" s="2" t="s">
        <v>7</v>
      </c>
      <c r="E349" s="2" t="s">
        <v>182</v>
      </c>
      <c r="F349" s="2" t="s">
        <v>40</v>
      </c>
      <c r="G349" s="2" t="s">
        <v>20</v>
      </c>
      <c r="H349" s="2">
        <v>940.43</v>
      </c>
      <c r="I349" s="2">
        <v>612.47</v>
      </c>
      <c r="J349" s="2">
        <v>327.96</v>
      </c>
      <c r="K349" s="2" t="s">
        <v>229</v>
      </c>
      <c r="L349" s="2"/>
      <c r="M349" s="2">
        <v>4</v>
      </c>
      <c r="N349" s="2" t="s">
        <v>29</v>
      </c>
    </row>
    <row r="350" spans="1:14" x14ac:dyDescent="0.3">
      <c r="A350" s="2" t="s">
        <v>715</v>
      </c>
      <c r="B350" s="2" t="s">
        <v>647</v>
      </c>
      <c r="C350" s="2" t="s">
        <v>32</v>
      </c>
      <c r="D350" s="2" t="s">
        <v>17</v>
      </c>
      <c r="E350" s="2" t="s">
        <v>96</v>
      </c>
      <c r="F350" s="2" t="s">
        <v>27</v>
      </c>
      <c r="G350" s="2" t="s">
        <v>44</v>
      </c>
      <c r="H350" s="2">
        <v>2762.18</v>
      </c>
      <c r="I350" s="2">
        <v>1705.22</v>
      </c>
      <c r="J350" s="2">
        <v>1056.96</v>
      </c>
      <c r="K350" s="2" t="s">
        <v>21</v>
      </c>
      <c r="L350" s="2"/>
      <c r="M350" s="2">
        <v>4</v>
      </c>
      <c r="N350" s="2" t="s">
        <v>29</v>
      </c>
    </row>
    <row r="351" spans="1:14" x14ac:dyDescent="0.3">
      <c r="A351" s="2" t="s">
        <v>716</v>
      </c>
      <c r="B351" s="2" t="s">
        <v>285</v>
      </c>
      <c r="C351" s="2" t="s">
        <v>76</v>
      </c>
      <c r="D351" s="2" t="s">
        <v>17</v>
      </c>
      <c r="E351" s="2" t="s">
        <v>51</v>
      </c>
      <c r="F351" s="2" t="s">
        <v>40</v>
      </c>
      <c r="G351" s="2" t="s">
        <v>20</v>
      </c>
      <c r="H351" s="2">
        <v>2790.69</v>
      </c>
      <c r="I351" s="2">
        <v>1801.01</v>
      </c>
      <c r="J351" s="2">
        <v>989.68</v>
      </c>
      <c r="K351" s="2" t="s">
        <v>101</v>
      </c>
      <c r="L351" s="2"/>
      <c r="M351" s="2">
        <v>3</v>
      </c>
      <c r="N351" s="2" t="s">
        <v>22</v>
      </c>
    </row>
    <row r="352" spans="1:14" x14ac:dyDescent="0.3">
      <c r="A352" s="2" t="s">
        <v>717</v>
      </c>
      <c r="B352" s="2" t="s">
        <v>239</v>
      </c>
      <c r="C352" s="2" t="s">
        <v>104</v>
      </c>
      <c r="D352" s="2" t="s">
        <v>7</v>
      </c>
      <c r="E352" s="2" t="s">
        <v>128</v>
      </c>
      <c r="F352" s="2"/>
      <c r="G352" s="2" t="s">
        <v>28</v>
      </c>
      <c r="H352" s="2">
        <v>897.76</v>
      </c>
      <c r="I352" s="2">
        <v>659.06</v>
      </c>
      <c r="J352" s="2">
        <v>238.7</v>
      </c>
      <c r="K352" s="2" t="s">
        <v>229</v>
      </c>
      <c r="L352" s="2"/>
      <c r="M352" s="2">
        <v>3</v>
      </c>
      <c r="N352" s="2" t="s">
        <v>22</v>
      </c>
    </row>
    <row r="353" spans="1:14" x14ac:dyDescent="0.3">
      <c r="A353" s="2" t="s">
        <v>718</v>
      </c>
      <c r="B353" s="2" t="s">
        <v>631</v>
      </c>
      <c r="C353" s="2" t="s">
        <v>124</v>
      </c>
      <c r="D353" s="2" t="s">
        <v>42</v>
      </c>
      <c r="E353" s="2"/>
      <c r="F353" s="2" t="s">
        <v>84</v>
      </c>
      <c r="G353" s="2" t="s">
        <v>36</v>
      </c>
      <c r="H353" s="2">
        <v>1862.87</v>
      </c>
      <c r="I353" s="2">
        <v>1387.29</v>
      </c>
      <c r="J353" s="2">
        <v>475.58</v>
      </c>
      <c r="K353" s="2" t="s">
        <v>21</v>
      </c>
      <c r="L353" s="2"/>
      <c r="M353" s="2">
        <v>5</v>
      </c>
      <c r="N353" s="2" t="s">
        <v>22</v>
      </c>
    </row>
    <row r="354" spans="1:14" x14ac:dyDescent="0.3">
      <c r="A354" s="2" t="s">
        <v>719</v>
      </c>
      <c r="B354" s="2" t="s">
        <v>720</v>
      </c>
      <c r="C354" s="2" t="s">
        <v>68</v>
      </c>
      <c r="D354" s="2" t="s">
        <v>17</v>
      </c>
      <c r="E354" s="2" t="s">
        <v>96</v>
      </c>
      <c r="F354" s="2" t="s">
        <v>35</v>
      </c>
      <c r="G354" s="2" t="s">
        <v>28</v>
      </c>
      <c r="H354" s="2">
        <v>2046.42</v>
      </c>
      <c r="I354" s="2">
        <v>1297.26</v>
      </c>
      <c r="J354" s="2">
        <v>749.16</v>
      </c>
      <c r="K354" s="2" t="s">
        <v>21</v>
      </c>
      <c r="L354" s="2"/>
      <c r="M354" s="2">
        <v>4</v>
      </c>
      <c r="N354" s="2" t="s">
        <v>22</v>
      </c>
    </row>
    <row r="355" spans="1:14" x14ac:dyDescent="0.3">
      <c r="A355" s="2" t="s">
        <v>721</v>
      </c>
      <c r="B355" s="2" t="s">
        <v>330</v>
      </c>
      <c r="C355" s="2" t="s">
        <v>124</v>
      </c>
      <c r="D355" s="2" t="s">
        <v>42</v>
      </c>
      <c r="E355" s="2" t="s">
        <v>214</v>
      </c>
      <c r="F355" s="2" t="s">
        <v>87</v>
      </c>
      <c r="G355" s="2" t="s">
        <v>44</v>
      </c>
      <c r="H355" s="2">
        <v>2597.6999999999998</v>
      </c>
      <c r="I355" s="2">
        <v>1978.4</v>
      </c>
      <c r="J355" s="2">
        <v>619.29999999999995</v>
      </c>
      <c r="K355" s="2" t="s">
        <v>21</v>
      </c>
      <c r="L355" s="2"/>
      <c r="M355" s="2">
        <v>4</v>
      </c>
      <c r="N355" s="2" t="s">
        <v>22</v>
      </c>
    </row>
    <row r="356" spans="1:14" x14ac:dyDescent="0.3">
      <c r="A356" s="2" t="s">
        <v>722</v>
      </c>
      <c r="B356" s="2" t="s">
        <v>103</v>
      </c>
      <c r="C356" s="2" t="s">
        <v>104</v>
      </c>
      <c r="D356" s="2" t="s">
        <v>17</v>
      </c>
      <c r="E356" s="2" t="s">
        <v>72</v>
      </c>
      <c r="F356" s="2" t="s">
        <v>19</v>
      </c>
      <c r="G356" s="2" t="s">
        <v>36</v>
      </c>
      <c r="H356" s="2">
        <v>950.86</v>
      </c>
      <c r="I356" s="2">
        <v>760.44</v>
      </c>
      <c r="J356" s="2">
        <v>190.42</v>
      </c>
      <c r="K356" s="2" t="s">
        <v>21</v>
      </c>
      <c r="L356" s="2"/>
      <c r="M356" s="2">
        <v>5</v>
      </c>
      <c r="N356" s="2" t="s">
        <v>22</v>
      </c>
    </row>
    <row r="357" spans="1:14" x14ac:dyDescent="0.3">
      <c r="A357" s="2" t="s">
        <v>723</v>
      </c>
      <c r="B357" s="2" t="s">
        <v>724</v>
      </c>
      <c r="C357" s="2" t="s">
        <v>104</v>
      </c>
      <c r="D357" s="2" t="s">
        <v>7</v>
      </c>
      <c r="E357" s="2" t="s">
        <v>69</v>
      </c>
      <c r="F357" s="2" t="s">
        <v>19</v>
      </c>
      <c r="G357" s="2" t="s">
        <v>28</v>
      </c>
      <c r="H357" s="2">
        <v>3258.15</v>
      </c>
      <c r="I357" s="2">
        <v>2162.4</v>
      </c>
      <c r="J357" s="2">
        <v>1095.75</v>
      </c>
      <c r="K357" s="2" t="s">
        <v>21</v>
      </c>
      <c r="L357" s="2"/>
      <c r="M357" s="2">
        <v>4</v>
      </c>
      <c r="N357" s="2" t="s">
        <v>22</v>
      </c>
    </row>
    <row r="358" spans="1:14" x14ac:dyDescent="0.3">
      <c r="A358" s="2" t="s">
        <v>725</v>
      </c>
      <c r="B358" s="2" t="s">
        <v>322</v>
      </c>
      <c r="C358" s="2" t="s">
        <v>54</v>
      </c>
      <c r="D358" s="2" t="s">
        <v>7</v>
      </c>
      <c r="E358" s="2" t="s">
        <v>55</v>
      </c>
      <c r="F358" s="2" t="s">
        <v>27</v>
      </c>
      <c r="G358" s="2" t="s">
        <v>20</v>
      </c>
      <c r="H358" s="2">
        <v>2681.15</v>
      </c>
      <c r="I358" s="2">
        <v>1736.15</v>
      </c>
      <c r="J358" s="2">
        <v>945</v>
      </c>
      <c r="K358" s="2" t="s">
        <v>21</v>
      </c>
      <c r="L358" s="2"/>
      <c r="M358" s="2">
        <v>2</v>
      </c>
      <c r="N358" s="2" t="s">
        <v>29</v>
      </c>
    </row>
    <row r="359" spans="1:14" x14ac:dyDescent="0.3">
      <c r="A359" s="2" t="s">
        <v>726</v>
      </c>
      <c r="B359" s="2" t="s">
        <v>727</v>
      </c>
      <c r="C359" s="2" t="s">
        <v>68</v>
      </c>
      <c r="D359" s="2" t="s">
        <v>17</v>
      </c>
      <c r="E359" s="2" t="s">
        <v>100</v>
      </c>
      <c r="F359" s="2" t="s">
        <v>19</v>
      </c>
      <c r="G359" s="2" t="s">
        <v>28</v>
      </c>
      <c r="H359" s="2">
        <v>1021.91</v>
      </c>
      <c r="I359" s="2">
        <v>718.6</v>
      </c>
      <c r="J359" s="2">
        <v>303.31</v>
      </c>
      <c r="K359" s="2" t="s">
        <v>21</v>
      </c>
      <c r="L359" s="2"/>
      <c r="M359" s="2">
        <v>4</v>
      </c>
      <c r="N359" s="2" t="s">
        <v>22</v>
      </c>
    </row>
    <row r="360" spans="1:14" x14ac:dyDescent="0.3">
      <c r="A360" s="2" t="s">
        <v>728</v>
      </c>
      <c r="B360" s="2" t="s">
        <v>729</v>
      </c>
      <c r="C360" s="2" t="s">
        <v>16</v>
      </c>
      <c r="D360" s="2" t="s">
        <v>59</v>
      </c>
      <c r="E360" s="2" t="s">
        <v>108</v>
      </c>
      <c r="F360" s="2" t="s">
        <v>40</v>
      </c>
      <c r="G360" s="2" t="s">
        <v>20</v>
      </c>
      <c r="H360" s="2">
        <v>1382.27</v>
      </c>
      <c r="I360" s="2">
        <v>1087.55</v>
      </c>
      <c r="J360" s="2">
        <v>294.72000000000003</v>
      </c>
      <c r="K360" s="2" t="s">
        <v>21</v>
      </c>
      <c r="L360" s="2"/>
      <c r="M360" s="2">
        <v>4</v>
      </c>
      <c r="N360" s="2" t="s">
        <v>22</v>
      </c>
    </row>
    <row r="361" spans="1:14" x14ac:dyDescent="0.3">
      <c r="A361" s="2" t="s">
        <v>730</v>
      </c>
      <c r="B361" s="2" t="s">
        <v>731</v>
      </c>
      <c r="C361" s="2" t="s">
        <v>16</v>
      </c>
      <c r="D361" s="2" t="s">
        <v>7</v>
      </c>
      <c r="E361" s="2" t="s">
        <v>65</v>
      </c>
      <c r="F361" s="2" t="s">
        <v>87</v>
      </c>
      <c r="G361" s="2" t="s">
        <v>20</v>
      </c>
      <c r="H361" s="2">
        <v>2961.42</v>
      </c>
      <c r="I361" s="2">
        <v>2088.79</v>
      </c>
      <c r="J361" s="2">
        <v>872.63</v>
      </c>
      <c r="K361" s="2" t="s">
        <v>56</v>
      </c>
      <c r="L361" s="2">
        <v>4</v>
      </c>
      <c r="M361" s="2">
        <v>2</v>
      </c>
      <c r="N361" s="2" t="s">
        <v>22</v>
      </c>
    </row>
    <row r="362" spans="1:14" x14ac:dyDescent="0.3">
      <c r="A362" s="2" t="s">
        <v>732</v>
      </c>
      <c r="B362" s="2" t="s">
        <v>330</v>
      </c>
      <c r="C362" s="2" t="s">
        <v>124</v>
      </c>
      <c r="D362" s="2" t="s">
        <v>17</v>
      </c>
      <c r="E362" s="2" t="s">
        <v>18</v>
      </c>
      <c r="F362" s="2" t="s">
        <v>84</v>
      </c>
      <c r="G362" s="2" t="s">
        <v>44</v>
      </c>
      <c r="H362" s="2">
        <v>2533.19</v>
      </c>
      <c r="I362" s="2">
        <v>1719.98</v>
      </c>
      <c r="J362" s="2">
        <v>813.21</v>
      </c>
      <c r="K362" s="2" t="s">
        <v>21</v>
      </c>
      <c r="L362" s="2"/>
      <c r="M362" s="2">
        <v>4</v>
      </c>
      <c r="N362" s="2" t="s">
        <v>22</v>
      </c>
    </row>
    <row r="363" spans="1:14" x14ac:dyDescent="0.3">
      <c r="A363" s="2" t="s">
        <v>733</v>
      </c>
      <c r="B363" s="2" t="s">
        <v>734</v>
      </c>
      <c r="C363" s="2" t="s">
        <v>115</v>
      </c>
      <c r="D363" s="2" t="s">
        <v>33</v>
      </c>
      <c r="E363" s="2" t="s">
        <v>105</v>
      </c>
      <c r="F363" s="2" t="s">
        <v>27</v>
      </c>
      <c r="G363" s="2" t="s">
        <v>36</v>
      </c>
      <c r="H363" s="2">
        <v>2999.12</v>
      </c>
      <c r="I363" s="2">
        <v>2315.38</v>
      </c>
      <c r="J363" s="2">
        <v>683.74</v>
      </c>
      <c r="K363" s="2" t="s">
        <v>21</v>
      </c>
      <c r="L363" s="2"/>
      <c r="M363" s="2">
        <v>5</v>
      </c>
      <c r="N363" s="2" t="s">
        <v>22</v>
      </c>
    </row>
    <row r="364" spans="1:14" x14ac:dyDescent="0.3">
      <c r="A364" s="2" t="s">
        <v>735</v>
      </c>
      <c r="B364" s="2" t="s">
        <v>736</v>
      </c>
      <c r="C364" s="2" t="s">
        <v>124</v>
      </c>
      <c r="D364" s="2" t="s">
        <v>7</v>
      </c>
      <c r="E364" s="2" t="s">
        <v>134</v>
      </c>
      <c r="F364" s="2" t="s">
        <v>40</v>
      </c>
      <c r="G364" s="2" t="s">
        <v>36</v>
      </c>
      <c r="H364" s="2">
        <v>3038.07</v>
      </c>
      <c r="I364" s="2">
        <v>2108.2399999999998</v>
      </c>
      <c r="J364" s="2">
        <v>929.83</v>
      </c>
      <c r="K364" s="2" t="s">
        <v>21</v>
      </c>
      <c r="L364" s="2"/>
      <c r="M364" s="2">
        <v>3</v>
      </c>
      <c r="N364" s="2" t="s">
        <v>29</v>
      </c>
    </row>
    <row r="365" spans="1:14" x14ac:dyDescent="0.3">
      <c r="A365" s="2" t="s">
        <v>737</v>
      </c>
      <c r="B365" s="2" t="s">
        <v>738</v>
      </c>
      <c r="C365" s="2" t="s">
        <v>115</v>
      </c>
      <c r="D365" s="2" t="s">
        <v>42</v>
      </c>
      <c r="E365" s="2" t="s">
        <v>80</v>
      </c>
      <c r="F365" s="2" t="s">
        <v>87</v>
      </c>
      <c r="G365" s="2" t="s">
        <v>36</v>
      </c>
      <c r="H365" s="2">
        <v>3393.24</v>
      </c>
      <c r="I365" s="2">
        <v>3099.18</v>
      </c>
      <c r="J365" s="2">
        <v>294.06</v>
      </c>
      <c r="K365" s="2" t="s">
        <v>56</v>
      </c>
      <c r="L365" s="2">
        <v>12</v>
      </c>
      <c r="M365" s="2">
        <v>2</v>
      </c>
      <c r="N365" s="2" t="s">
        <v>22</v>
      </c>
    </row>
    <row r="366" spans="1:14" x14ac:dyDescent="0.3">
      <c r="A366" s="2" t="s">
        <v>739</v>
      </c>
      <c r="B366" s="2" t="s">
        <v>740</v>
      </c>
      <c r="C366" s="2" t="s">
        <v>76</v>
      </c>
      <c r="D366" s="2" t="s">
        <v>33</v>
      </c>
      <c r="E366" s="2" t="s">
        <v>93</v>
      </c>
      <c r="F366" s="2" t="s">
        <v>87</v>
      </c>
      <c r="G366" s="2" t="s">
        <v>44</v>
      </c>
      <c r="H366" s="2">
        <v>229.35</v>
      </c>
      <c r="I366" s="2">
        <v>171.79</v>
      </c>
      <c r="J366" s="2">
        <v>57.56</v>
      </c>
      <c r="K366" s="2" t="s">
        <v>21</v>
      </c>
      <c r="L366" s="2"/>
      <c r="M366" s="2">
        <v>4</v>
      </c>
      <c r="N366" s="2" t="s">
        <v>29</v>
      </c>
    </row>
    <row r="367" spans="1:14" x14ac:dyDescent="0.3">
      <c r="A367" s="2" t="s">
        <v>741</v>
      </c>
      <c r="B367" s="2" t="s">
        <v>742</v>
      </c>
      <c r="C367" s="2" t="s">
        <v>111</v>
      </c>
      <c r="D367" s="2" t="s">
        <v>33</v>
      </c>
      <c r="E367" s="2" t="s">
        <v>105</v>
      </c>
      <c r="F367" s="2" t="s">
        <v>27</v>
      </c>
      <c r="G367" s="2" t="s">
        <v>73</v>
      </c>
      <c r="H367" s="2">
        <v>1139.52</v>
      </c>
      <c r="I367" s="2">
        <v>696.94</v>
      </c>
      <c r="J367" s="2">
        <v>442.58</v>
      </c>
      <c r="K367" s="2" t="s">
        <v>56</v>
      </c>
      <c r="L367" s="2">
        <v>3</v>
      </c>
      <c r="M367" s="2">
        <v>3</v>
      </c>
      <c r="N367" s="2" t="s">
        <v>22</v>
      </c>
    </row>
    <row r="368" spans="1:14" x14ac:dyDescent="0.3">
      <c r="A368" s="2" t="s">
        <v>743</v>
      </c>
      <c r="B368" s="2" t="s">
        <v>239</v>
      </c>
      <c r="C368" s="2" t="s">
        <v>104</v>
      </c>
      <c r="D368" s="2" t="s">
        <v>59</v>
      </c>
      <c r="E368" s="2" t="s">
        <v>116</v>
      </c>
      <c r="F368" s="2" t="s">
        <v>27</v>
      </c>
      <c r="G368" s="2" t="s">
        <v>73</v>
      </c>
      <c r="H368" s="2">
        <v>2368.63</v>
      </c>
      <c r="I368" s="2">
        <v>1493.21</v>
      </c>
      <c r="J368" s="2">
        <v>875.42</v>
      </c>
      <c r="K368" s="2" t="s">
        <v>21</v>
      </c>
      <c r="L368" s="2"/>
      <c r="M368" s="2">
        <v>1</v>
      </c>
      <c r="N368" s="2" t="s">
        <v>22</v>
      </c>
    </row>
    <row r="369" spans="1:14" x14ac:dyDescent="0.3">
      <c r="A369" s="2" t="s">
        <v>744</v>
      </c>
      <c r="B369" s="2" t="s">
        <v>161</v>
      </c>
      <c r="C369" s="2" t="s">
        <v>54</v>
      </c>
      <c r="D369" s="2" t="s">
        <v>17</v>
      </c>
      <c r="E369" s="2" t="s">
        <v>51</v>
      </c>
      <c r="F369" s="2" t="s">
        <v>40</v>
      </c>
      <c r="G369" s="2" t="s">
        <v>36</v>
      </c>
      <c r="H369" s="2">
        <v>467.07</v>
      </c>
      <c r="I369" s="2">
        <v>332.3</v>
      </c>
      <c r="J369" s="2">
        <v>134.77000000000001</v>
      </c>
      <c r="K369" s="2" t="s">
        <v>21</v>
      </c>
      <c r="L369" s="2"/>
      <c r="M369" s="2">
        <v>1</v>
      </c>
      <c r="N369" s="2" t="s">
        <v>22</v>
      </c>
    </row>
    <row r="370" spans="1:14" x14ac:dyDescent="0.3">
      <c r="A370" s="2" t="s">
        <v>745</v>
      </c>
      <c r="B370" s="2" t="s">
        <v>746</v>
      </c>
      <c r="C370" s="2" t="s">
        <v>76</v>
      </c>
      <c r="D370" s="2" t="s">
        <v>7</v>
      </c>
      <c r="E370" s="2" t="s">
        <v>182</v>
      </c>
      <c r="F370" s="2" t="s">
        <v>19</v>
      </c>
      <c r="G370" s="2" t="s">
        <v>28</v>
      </c>
      <c r="H370" s="2">
        <v>2041.34</v>
      </c>
      <c r="I370" s="2">
        <v>1188.03</v>
      </c>
      <c r="J370" s="2">
        <v>853.31</v>
      </c>
      <c r="K370" s="2" t="s">
        <v>56</v>
      </c>
      <c r="L370" s="2">
        <v>1</v>
      </c>
      <c r="M370" s="2">
        <v>1</v>
      </c>
      <c r="N370" s="2" t="s">
        <v>22</v>
      </c>
    </row>
    <row r="371" spans="1:14" x14ac:dyDescent="0.3">
      <c r="A371" s="2" t="s">
        <v>747</v>
      </c>
      <c r="B371" s="2" t="s">
        <v>748</v>
      </c>
      <c r="C371" s="2" t="s">
        <v>25</v>
      </c>
      <c r="D371" s="2" t="s">
        <v>749</v>
      </c>
      <c r="E371" s="2" t="s">
        <v>171</v>
      </c>
      <c r="F371" s="2" t="s">
        <v>40</v>
      </c>
      <c r="G371" s="2" t="s">
        <v>36</v>
      </c>
      <c r="H371" s="2">
        <v>3238.27</v>
      </c>
      <c r="I371" s="2">
        <v>2051.7600000000002</v>
      </c>
      <c r="J371" s="2">
        <v>1186.51</v>
      </c>
      <c r="K371" s="2" t="s">
        <v>21</v>
      </c>
      <c r="L371" s="2"/>
      <c r="M371" s="2">
        <v>5</v>
      </c>
      <c r="N371" s="2" t="s">
        <v>29</v>
      </c>
    </row>
    <row r="372" spans="1:14" x14ac:dyDescent="0.3">
      <c r="A372" s="2" t="s">
        <v>750</v>
      </c>
      <c r="B372" s="2" t="s">
        <v>751</v>
      </c>
      <c r="C372" s="2" t="s">
        <v>104</v>
      </c>
      <c r="D372" s="2" t="s">
        <v>33</v>
      </c>
      <c r="E372" s="2" t="s">
        <v>93</v>
      </c>
      <c r="F372" s="2" t="s">
        <v>84</v>
      </c>
      <c r="G372" s="2" t="s">
        <v>36</v>
      </c>
      <c r="H372" s="2">
        <v>906.58</v>
      </c>
      <c r="I372" s="2">
        <v>588.6</v>
      </c>
      <c r="J372" s="2">
        <v>317.98</v>
      </c>
      <c r="K372" s="2" t="s">
        <v>101</v>
      </c>
      <c r="L372" s="2"/>
      <c r="M372" s="2">
        <v>5</v>
      </c>
      <c r="N372" s="2" t="s">
        <v>22</v>
      </c>
    </row>
    <row r="373" spans="1:14" x14ac:dyDescent="0.3">
      <c r="A373" s="2" t="s">
        <v>752</v>
      </c>
      <c r="B373" s="2" t="s">
        <v>753</v>
      </c>
      <c r="C373" s="2" t="s">
        <v>54</v>
      </c>
      <c r="D373" s="2" t="s">
        <v>7</v>
      </c>
      <c r="E373" s="2"/>
      <c r="F373" s="2" t="s">
        <v>19</v>
      </c>
      <c r="G373" s="2" t="s">
        <v>36</v>
      </c>
      <c r="H373" s="2">
        <v>4076.22</v>
      </c>
      <c r="I373" s="2">
        <v>2441.33</v>
      </c>
      <c r="J373" s="2">
        <v>1634.89</v>
      </c>
      <c r="K373" s="2" t="s">
        <v>56</v>
      </c>
      <c r="L373" s="2">
        <v>8</v>
      </c>
      <c r="M373" s="2">
        <v>2</v>
      </c>
      <c r="N373" s="2" t="s">
        <v>22</v>
      </c>
    </row>
    <row r="374" spans="1:14" x14ac:dyDescent="0.3">
      <c r="A374" s="2" t="s">
        <v>754</v>
      </c>
      <c r="B374" s="2" t="s">
        <v>755</v>
      </c>
      <c r="C374" s="2" t="s">
        <v>16</v>
      </c>
      <c r="D374" s="2" t="s">
        <v>42</v>
      </c>
      <c r="E374" s="2" t="s">
        <v>162</v>
      </c>
      <c r="F374" s="2" t="s">
        <v>19</v>
      </c>
      <c r="G374" s="2" t="s">
        <v>28</v>
      </c>
      <c r="H374" s="2">
        <v>806.12</v>
      </c>
      <c r="I374" s="2">
        <v>601.36</v>
      </c>
      <c r="J374" s="2">
        <v>204.76</v>
      </c>
      <c r="K374" s="2" t="s">
        <v>56</v>
      </c>
      <c r="L374" s="2">
        <v>11</v>
      </c>
      <c r="M374" s="2">
        <v>3</v>
      </c>
      <c r="N374" s="2" t="s">
        <v>29</v>
      </c>
    </row>
    <row r="375" spans="1:14" x14ac:dyDescent="0.3">
      <c r="A375" s="2" t="s">
        <v>756</v>
      </c>
      <c r="B375" s="2" t="s">
        <v>757</v>
      </c>
      <c r="C375" s="2" t="s">
        <v>111</v>
      </c>
      <c r="D375" s="2" t="s">
        <v>33</v>
      </c>
      <c r="E375" s="2" t="s">
        <v>119</v>
      </c>
      <c r="F375" s="2" t="s">
        <v>35</v>
      </c>
      <c r="G375" s="2" t="s">
        <v>97</v>
      </c>
      <c r="H375" s="2">
        <v>717.77</v>
      </c>
      <c r="I375" s="2">
        <v>401.24</v>
      </c>
      <c r="J375" s="2">
        <v>316.52999999999997</v>
      </c>
      <c r="K375" s="2" t="s">
        <v>21</v>
      </c>
      <c r="L375" s="2"/>
      <c r="M375" s="2">
        <v>3</v>
      </c>
      <c r="N375" s="2" t="s">
        <v>29</v>
      </c>
    </row>
    <row r="376" spans="1:14" x14ac:dyDescent="0.3">
      <c r="A376" s="2" t="s">
        <v>758</v>
      </c>
      <c r="B376" s="2" t="s">
        <v>473</v>
      </c>
      <c r="C376" s="2" t="s">
        <v>115</v>
      </c>
      <c r="D376" s="2" t="s">
        <v>7</v>
      </c>
      <c r="E376" s="2" t="s">
        <v>185</v>
      </c>
      <c r="F376" s="2" t="s">
        <v>87</v>
      </c>
      <c r="G376" s="2" t="s">
        <v>20</v>
      </c>
      <c r="H376" s="2">
        <v>721.92</v>
      </c>
      <c r="I376" s="2">
        <v>542.01</v>
      </c>
      <c r="J376" s="2">
        <v>179.91</v>
      </c>
      <c r="K376" s="2" t="s">
        <v>56</v>
      </c>
      <c r="L376" s="2">
        <v>7</v>
      </c>
      <c r="M376" s="2">
        <v>2</v>
      </c>
      <c r="N376" s="2" t="s">
        <v>22</v>
      </c>
    </row>
    <row r="377" spans="1:14" x14ac:dyDescent="0.3">
      <c r="A377" s="2" t="s">
        <v>759</v>
      </c>
      <c r="B377" s="2" t="s">
        <v>760</v>
      </c>
      <c r="C377" s="2" t="s">
        <v>54</v>
      </c>
      <c r="D377" s="2" t="s">
        <v>7</v>
      </c>
      <c r="E377" s="2" t="s">
        <v>182</v>
      </c>
      <c r="F377" s="2" t="s">
        <v>35</v>
      </c>
      <c r="G377" s="2" t="s">
        <v>36</v>
      </c>
      <c r="H377" s="2">
        <v>945.45</v>
      </c>
      <c r="I377" s="2">
        <v>567.25</v>
      </c>
      <c r="J377" s="2">
        <v>378.2</v>
      </c>
      <c r="K377" s="2" t="s">
        <v>21</v>
      </c>
      <c r="L377" s="2"/>
      <c r="M377" s="2">
        <v>3</v>
      </c>
      <c r="N377" s="2" t="s">
        <v>29</v>
      </c>
    </row>
    <row r="378" spans="1:14" x14ac:dyDescent="0.3">
      <c r="A378" s="2" t="s">
        <v>404</v>
      </c>
      <c r="B378" s="2" t="s">
        <v>405</v>
      </c>
      <c r="C378" s="2" t="s">
        <v>179</v>
      </c>
      <c r="D378" s="2" t="s">
        <v>42</v>
      </c>
      <c r="E378" s="2" t="s">
        <v>83</v>
      </c>
      <c r="F378" s="2" t="s">
        <v>19</v>
      </c>
      <c r="G378" s="2" t="s">
        <v>44</v>
      </c>
      <c r="H378" s="2">
        <v>1403.76</v>
      </c>
      <c r="I378" s="2">
        <v>1167.79</v>
      </c>
      <c r="J378" s="2">
        <v>235.97</v>
      </c>
      <c r="K378" s="2" t="s">
        <v>21</v>
      </c>
      <c r="L378" s="2"/>
      <c r="M378" s="2">
        <v>4</v>
      </c>
      <c r="N378" s="2" t="s">
        <v>22</v>
      </c>
    </row>
    <row r="379" spans="1:14" x14ac:dyDescent="0.3">
      <c r="A379" s="2" t="s">
        <v>761</v>
      </c>
      <c r="B379" s="2" t="s">
        <v>257</v>
      </c>
      <c r="C379" s="2" t="s">
        <v>25</v>
      </c>
      <c r="D379" s="2" t="s">
        <v>7</v>
      </c>
      <c r="E379" s="2" t="s">
        <v>134</v>
      </c>
      <c r="F379" s="2" t="s">
        <v>40</v>
      </c>
      <c r="G379" s="2" t="s">
        <v>36</v>
      </c>
      <c r="H379" s="2">
        <v>3359.63</v>
      </c>
      <c r="I379" s="2">
        <v>2060.35</v>
      </c>
      <c r="J379" s="2">
        <v>1299.28</v>
      </c>
      <c r="K379" s="2" t="s">
        <v>21</v>
      </c>
      <c r="L379" s="2"/>
      <c r="M379" s="2">
        <v>5</v>
      </c>
      <c r="N379" s="2" t="s">
        <v>22</v>
      </c>
    </row>
    <row r="380" spans="1:14" x14ac:dyDescent="0.3">
      <c r="A380" s="2" t="s">
        <v>762</v>
      </c>
      <c r="B380" s="2" t="s">
        <v>763</v>
      </c>
      <c r="C380" s="2" t="s">
        <v>124</v>
      </c>
      <c r="D380" s="2" t="s">
        <v>42</v>
      </c>
      <c r="E380" s="2" t="s">
        <v>214</v>
      </c>
      <c r="F380" s="2" t="s">
        <v>84</v>
      </c>
      <c r="G380" s="2" t="s">
        <v>73</v>
      </c>
      <c r="H380" s="2">
        <v>1858.04</v>
      </c>
      <c r="I380" s="2">
        <v>1563.82</v>
      </c>
      <c r="J380" s="2">
        <v>294.22000000000003</v>
      </c>
      <c r="K380" s="2" t="s">
        <v>56</v>
      </c>
      <c r="L380" s="2">
        <v>11</v>
      </c>
      <c r="M380" s="2">
        <v>2</v>
      </c>
      <c r="N380" s="2" t="s">
        <v>22</v>
      </c>
    </row>
    <row r="381" spans="1:14" x14ac:dyDescent="0.3">
      <c r="A381" s="2" t="s">
        <v>764</v>
      </c>
      <c r="B381" s="2" t="s">
        <v>173</v>
      </c>
      <c r="C381" s="2" t="s">
        <v>54</v>
      </c>
      <c r="D381" s="2" t="s">
        <v>17</v>
      </c>
      <c r="E381" s="2" t="s">
        <v>96</v>
      </c>
      <c r="F381" s="2" t="s">
        <v>19</v>
      </c>
      <c r="G381" s="2" t="s">
        <v>28</v>
      </c>
      <c r="H381" s="2">
        <v>476.97</v>
      </c>
      <c r="I381" s="2">
        <v>373.44</v>
      </c>
      <c r="J381" s="2">
        <v>103.53</v>
      </c>
      <c r="K381" s="2" t="s">
        <v>21</v>
      </c>
      <c r="L381" s="2"/>
      <c r="M381" s="2">
        <v>5</v>
      </c>
      <c r="N381" s="2" t="s">
        <v>29</v>
      </c>
    </row>
    <row r="382" spans="1:14" x14ac:dyDescent="0.3">
      <c r="A382" s="2" t="s">
        <v>765</v>
      </c>
      <c r="B382" s="2" t="s">
        <v>340</v>
      </c>
      <c r="C382" s="2" t="s">
        <v>54</v>
      </c>
      <c r="D382" s="2" t="s">
        <v>17</v>
      </c>
      <c r="E382" s="2" t="s">
        <v>100</v>
      </c>
      <c r="F382" s="2" t="s">
        <v>40</v>
      </c>
      <c r="G382" s="2" t="s">
        <v>36</v>
      </c>
      <c r="H382" s="2">
        <v>1627.67</v>
      </c>
      <c r="I382" s="2">
        <v>1168.03</v>
      </c>
      <c r="J382" s="2">
        <v>459.64</v>
      </c>
      <c r="K382" s="2" t="s">
        <v>21</v>
      </c>
      <c r="L382" s="2"/>
      <c r="M382" s="2">
        <v>5</v>
      </c>
      <c r="N382" s="2" t="s">
        <v>22</v>
      </c>
    </row>
    <row r="383" spans="1:14" x14ac:dyDescent="0.3">
      <c r="A383" s="2" t="s">
        <v>766</v>
      </c>
      <c r="B383" s="2" t="s">
        <v>767</v>
      </c>
      <c r="C383" s="2" t="s">
        <v>76</v>
      </c>
      <c r="D383" s="2" t="s">
        <v>33</v>
      </c>
      <c r="E383" s="2" t="s">
        <v>93</v>
      </c>
      <c r="F383" s="2" t="s">
        <v>19</v>
      </c>
      <c r="G383" s="2" t="s">
        <v>28</v>
      </c>
      <c r="H383" s="2">
        <v>615.11</v>
      </c>
      <c r="I383" s="2">
        <v>384.62</v>
      </c>
      <c r="J383" s="2">
        <v>230.49</v>
      </c>
      <c r="K383" s="2" t="s">
        <v>56</v>
      </c>
      <c r="L383" s="2">
        <v>5</v>
      </c>
      <c r="M383" s="2">
        <v>2</v>
      </c>
      <c r="N383" s="2" t="s">
        <v>22</v>
      </c>
    </row>
    <row r="384" spans="1:14" x14ac:dyDescent="0.3">
      <c r="A384" s="2" t="s">
        <v>768</v>
      </c>
      <c r="B384" s="2" t="s">
        <v>89</v>
      </c>
      <c r="C384" s="2" t="s">
        <v>16</v>
      </c>
      <c r="D384" s="2" t="s">
        <v>42</v>
      </c>
      <c r="E384" s="2" t="s">
        <v>262</v>
      </c>
      <c r="F384" s="2" t="s">
        <v>35</v>
      </c>
      <c r="G384" s="2" t="s">
        <v>44</v>
      </c>
      <c r="H384" s="2">
        <v>2859.53</v>
      </c>
      <c r="I384" s="2">
        <v>2209.6999999999998</v>
      </c>
      <c r="J384" s="2">
        <v>649.83000000000004</v>
      </c>
      <c r="K384" s="2" t="s">
        <v>21</v>
      </c>
      <c r="L384" s="2"/>
      <c r="M384" s="2">
        <v>1</v>
      </c>
      <c r="N384" s="2" t="s">
        <v>29</v>
      </c>
    </row>
    <row r="385" spans="1:14" x14ac:dyDescent="0.3">
      <c r="A385" s="2" t="s">
        <v>769</v>
      </c>
      <c r="B385" s="2" t="s">
        <v>770</v>
      </c>
      <c r="C385" s="2" t="s">
        <v>68</v>
      </c>
      <c r="D385" s="2" t="s">
        <v>7</v>
      </c>
      <c r="E385" s="2" t="s">
        <v>131</v>
      </c>
      <c r="F385" s="2" t="s">
        <v>19</v>
      </c>
      <c r="G385" s="2" t="s">
        <v>44</v>
      </c>
      <c r="H385" s="2">
        <v>387.89</v>
      </c>
      <c r="I385" s="2">
        <v>299.52</v>
      </c>
      <c r="J385" s="2">
        <v>88.37</v>
      </c>
      <c r="K385" s="2" t="s">
        <v>21</v>
      </c>
      <c r="L385" s="2"/>
      <c r="M385" s="2">
        <v>3</v>
      </c>
      <c r="N385" s="2" t="s">
        <v>22</v>
      </c>
    </row>
    <row r="386" spans="1:14" x14ac:dyDescent="0.3">
      <c r="A386" s="2" t="s">
        <v>771</v>
      </c>
      <c r="B386" s="2" t="s">
        <v>772</v>
      </c>
      <c r="C386" s="2" t="s">
        <v>179</v>
      </c>
      <c r="D386" s="2" t="s">
        <v>33</v>
      </c>
      <c r="E386" s="2" t="s">
        <v>171</v>
      </c>
      <c r="F386" s="2" t="s">
        <v>40</v>
      </c>
      <c r="G386" s="2" t="s">
        <v>36</v>
      </c>
      <c r="H386" s="2">
        <v>2785.26</v>
      </c>
      <c r="I386" s="2">
        <v>1634.88</v>
      </c>
      <c r="J386" s="2">
        <v>1150.3800000000001</v>
      </c>
      <c r="K386" s="2" t="s">
        <v>21</v>
      </c>
      <c r="L386" s="2"/>
      <c r="M386" s="2">
        <v>3</v>
      </c>
      <c r="N386" s="2" t="s">
        <v>22</v>
      </c>
    </row>
    <row r="387" spans="1:14" x14ac:dyDescent="0.3">
      <c r="A387" s="2" t="s">
        <v>773</v>
      </c>
      <c r="B387" s="2" t="s">
        <v>774</v>
      </c>
      <c r="C387" s="2" t="s">
        <v>76</v>
      </c>
      <c r="D387" s="2" t="s">
        <v>277</v>
      </c>
      <c r="E387" s="2" t="s">
        <v>162</v>
      </c>
      <c r="F387" s="2" t="s">
        <v>35</v>
      </c>
      <c r="G387" s="2" t="s">
        <v>36</v>
      </c>
      <c r="H387" s="2">
        <v>3458.22</v>
      </c>
      <c r="I387" s="2">
        <v>2831.75</v>
      </c>
      <c r="J387" s="2">
        <v>626.47</v>
      </c>
      <c r="K387" s="2" t="s">
        <v>56</v>
      </c>
      <c r="L387" s="2">
        <v>8</v>
      </c>
      <c r="M387" s="2">
        <v>4</v>
      </c>
      <c r="N387" s="2" t="s">
        <v>29</v>
      </c>
    </row>
    <row r="388" spans="1:14" x14ac:dyDescent="0.3">
      <c r="A388" s="2" t="s">
        <v>775</v>
      </c>
      <c r="B388" s="2" t="s">
        <v>776</v>
      </c>
      <c r="C388" s="2" t="s">
        <v>25</v>
      </c>
      <c r="D388" s="2" t="s">
        <v>59</v>
      </c>
      <c r="E388" s="2" t="s">
        <v>308</v>
      </c>
      <c r="F388" s="2" t="s">
        <v>27</v>
      </c>
      <c r="G388" s="2" t="s">
        <v>44</v>
      </c>
      <c r="H388" s="2">
        <v>375.56</v>
      </c>
      <c r="I388" s="2">
        <v>227.08</v>
      </c>
      <c r="J388" s="2">
        <v>148.47999999999999</v>
      </c>
      <c r="K388" s="2" t="s">
        <v>21</v>
      </c>
      <c r="L388" s="2"/>
      <c r="M388" s="2">
        <v>5</v>
      </c>
      <c r="N388" s="2" t="s">
        <v>22</v>
      </c>
    </row>
    <row r="389" spans="1:14" x14ac:dyDescent="0.3">
      <c r="A389" s="2" t="s">
        <v>777</v>
      </c>
      <c r="B389" s="2" t="s">
        <v>778</v>
      </c>
      <c r="C389" s="2" t="s">
        <v>111</v>
      </c>
      <c r="D389" s="2" t="s">
        <v>7</v>
      </c>
      <c r="E389" s="2" t="s">
        <v>69</v>
      </c>
      <c r="F389" s="2" t="s">
        <v>84</v>
      </c>
      <c r="G389" s="2" t="s">
        <v>36</v>
      </c>
      <c r="H389" s="2">
        <v>1152.78</v>
      </c>
      <c r="I389" s="2">
        <v>859.19</v>
      </c>
      <c r="J389" s="2">
        <v>293.58999999999997</v>
      </c>
      <c r="K389" s="2" t="s">
        <v>21</v>
      </c>
      <c r="L389" s="2"/>
      <c r="M389" s="2">
        <v>5</v>
      </c>
      <c r="N389" s="2" t="s">
        <v>22</v>
      </c>
    </row>
    <row r="390" spans="1:14" x14ac:dyDescent="0.3">
      <c r="A390" s="2" t="s">
        <v>779</v>
      </c>
      <c r="B390" s="2" t="s">
        <v>780</v>
      </c>
      <c r="C390" s="2" t="s">
        <v>25</v>
      </c>
      <c r="D390" s="2" t="s">
        <v>42</v>
      </c>
      <c r="E390" s="2" t="s">
        <v>162</v>
      </c>
      <c r="F390" s="2" t="s">
        <v>40</v>
      </c>
      <c r="G390" s="2" t="s">
        <v>44</v>
      </c>
      <c r="H390" s="2">
        <v>2723.67</v>
      </c>
      <c r="I390" s="2">
        <v>2453.1999999999998</v>
      </c>
      <c r="J390" s="2">
        <v>270.47000000000003</v>
      </c>
      <c r="K390" s="2" t="s">
        <v>56</v>
      </c>
      <c r="L390" s="2">
        <v>6</v>
      </c>
      <c r="M390" s="2">
        <v>2</v>
      </c>
      <c r="N390" s="2" t="s">
        <v>22</v>
      </c>
    </row>
    <row r="391" spans="1:14" x14ac:dyDescent="0.3">
      <c r="A391" s="2" t="s">
        <v>781</v>
      </c>
      <c r="B391" s="2" t="s">
        <v>782</v>
      </c>
      <c r="C391" s="2" t="s">
        <v>76</v>
      </c>
      <c r="D391" s="2" t="s">
        <v>33</v>
      </c>
      <c r="E391" s="2" t="s">
        <v>34</v>
      </c>
      <c r="F391" s="2" t="s">
        <v>40</v>
      </c>
      <c r="G391" s="2" t="s">
        <v>36</v>
      </c>
      <c r="H391" s="2">
        <v>224.09</v>
      </c>
      <c r="I391" s="2">
        <v>148.37</v>
      </c>
      <c r="J391" s="2">
        <v>75.72</v>
      </c>
      <c r="K391" s="2" t="s">
        <v>21</v>
      </c>
      <c r="L391" s="2"/>
      <c r="M391" s="2">
        <v>5</v>
      </c>
      <c r="N391" s="2" t="s">
        <v>29</v>
      </c>
    </row>
    <row r="392" spans="1:14" x14ac:dyDescent="0.3">
      <c r="A392" s="2" t="s">
        <v>783</v>
      </c>
      <c r="B392" s="2" t="s">
        <v>366</v>
      </c>
      <c r="C392" s="2" t="s">
        <v>64</v>
      </c>
      <c r="D392" s="2" t="s">
        <v>33</v>
      </c>
      <c r="E392" s="2" t="s">
        <v>119</v>
      </c>
      <c r="F392" s="2" t="s">
        <v>87</v>
      </c>
      <c r="G392" s="2" t="s">
        <v>44</v>
      </c>
      <c r="H392" s="2">
        <v>1165.71</v>
      </c>
      <c r="I392" s="2">
        <v>706.51</v>
      </c>
      <c r="J392" s="2">
        <v>459.2</v>
      </c>
      <c r="K392" s="2" t="s">
        <v>21</v>
      </c>
      <c r="L392" s="2"/>
      <c r="M392" s="2">
        <v>4</v>
      </c>
      <c r="N392" s="2" t="s">
        <v>22</v>
      </c>
    </row>
    <row r="393" spans="1:14" x14ac:dyDescent="0.3">
      <c r="A393" s="2" t="s">
        <v>784</v>
      </c>
      <c r="B393" s="2" t="s">
        <v>785</v>
      </c>
      <c r="C393" s="2" t="s">
        <v>64</v>
      </c>
      <c r="D393" s="2" t="s">
        <v>33</v>
      </c>
      <c r="E393" s="2" t="s">
        <v>39</v>
      </c>
      <c r="F393" s="2" t="s">
        <v>19</v>
      </c>
      <c r="G393" s="2" t="s">
        <v>36</v>
      </c>
      <c r="H393" s="2">
        <v>3542.2</v>
      </c>
      <c r="I393" s="2">
        <v>2028.26</v>
      </c>
      <c r="J393" s="2">
        <v>1513.94</v>
      </c>
      <c r="K393" s="2" t="s">
        <v>21</v>
      </c>
      <c r="L393" s="2"/>
      <c r="M393" s="2">
        <v>3</v>
      </c>
      <c r="N393" s="2" t="s">
        <v>29</v>
      </c>
    </row>
    <row r="394" spans="1:14" x14ac:dyDescent="0.3">
      <c r="A394" s="2" t="s">
        <v>786</v>
      </c>
      <c r="B394" s="2" t="s">
        <v>571</v>
      </c>
      <c r="C394" s="2" t="s">
        <v>179</v>
      </c>
      <c r="D394" s="2" t="s">
        <v>787</v>
      </c>
      <c r="E394" s="2"/>
      <c r="F394" s="2" t="s">
        <v>84</v>
      </c>
      <c r="G394" s="2" t="s">
        <v>558</v>
      </c>
      <c r="H394" s="2">
        <v>694.73</v>
      </c>
      <c r="I394" s="2">
        <v>466.65</v>
      </c>
      <c r="J394" s="2">
        <v>228.08</v>
      </c>
      <c r="K394" s="2" t="s">
        <v>229</v>
      </c>
      <c r="L394" s="2"/>
      <c r="M394" s="2">
        <v>3</v>
      </c>
      <c r="N394" s="2" t="s">
        <v>22</v>
      </c>
    </row>
    <row r="395" spans="1:14" x14ac:dyDescent="0.3">
      <c r="A395" s="2" t="s">
        <v>788</v>
      </c>
      <c r="B395" s="2" t="s">
        <v>789</v>
      </c>
      <c r="C395" s="2" t="s">
        <v>115</v>
      </c>
      <c r="D395" s="2" t="s">
        <v>17</v>
      </c>
      <c r="E395" s="2" t="s">
        <v>26</v>
      </c>
      <c r="F395" s="2" t="s">
        <v>35</v>
      </c>
      <c r="G395" s="2" t="s">
        <v>20</v>
      </c>
      <c r="H395" s="2">
        <v>1160.23</v>
      </c>
      <c r="I395" s="2">
        <v>905.11</v>
      </c>
      <c r="J395" s="2">
        <v>255.12</v>
      </c>
      <c r="K395" s="2" t="s">
        <v>21</v>
      </c>
      <c r="L395" s="2"/>
      <c r="M395" s="2"/>
      <c r="N395" s="2" t="s">
        <v>22</v>
      </c>
    </row>
    <row r="396" spans="1:14" x14ac:dyDescent="0.3">
      <c r="A396" s="2" t="s">
        <v>790</v>
      </c>
      <c r="B396" s="2" t="s">
        <v>791</v>
      </c>
      <c r="C396" s="2" t="s">
        <v>104</v>
      </c>
      <c r="D396" s="2" t="s">
        <v>17</v>
      </c>
      <c r="E396" s="2" t="s">
        <v>469</v>
      </c>
      <c r="F396" s="2" t="s">
        <v>87</v>
      </c>
      <c r="G396" s="2" t="s">
        <v>44</v>
      </c>
      <c r="H396" s="2">
        <v>1547.48</v>
      </c>
      <c r="I396" s="2">
        <v>1041.4100000000001</v>
      </c>
      <c r="J396" s="2">
        <v>506.07</v>
      </c>
      <c r="K396" s="2" t="s">
        <v>56</v>
      </c>
      <c r="L396" s="2">
        <v>8</v>
      </c>
      <c r="M396" s="2">
        <v>5</v>
      </c>
      <c r="N396" s="2" t="s">
        <v>29</v>
      </c>
    </row>
    <row r="397" spans="1:14" x14ac:dyDescent="0.3">
      <c r="A397" s="2" t="s">
        <v>792</v>
      </c>
      <c r="B397" s="2" t="s">
        <v>793</v>
      </c>
      <c r="C397" s="2" t="s">
        <v>111</v>
      </c>
      <c r="D397" s="2" t="s">
        <v>42</v>
      </c>
      <c r="E397" s="2" t="s">
        <v>77</v>
      </c>
      <c r="F397" s="2" t="s">
        <v>84</v>
      </c>
      <c r="G397" s="2" t="s">
        <v>44</v>
      </c>
      <c r="H397" s="2">
        <v>2743.59</v>
      </c>
      <c r="I397" s="2">
        <v>1958.18</v>
      </c>
      <c r="J397" s="2">
        <v>785.41</v>
      </c>
      <c r="K397" s="2" t="s">
        <v>21</v>
      </c>
      <c r="L397" s="2"/>
      <c r="M397" s="2">
        <v>3</v>
      </c>
      <c r="N397" s="2" t="s">
        <v>29</v>
      </c>
    </row>
    <row r="398" spans="1:14" x14ac:dyDescent="0.3">
      <c r="A398" s="2" t="s">
        <v>794</v>
      </c>
      <c r="B398" s="2" t="s">
        <v>253</v>
      </c>
      <c r="C398" s="2" t="s">
        <v>179</v>
      </c>
      <c r="D398" s="2" t="s">
        <v>33</v>
      </c>
      <c r="E398" s="2" t="s">
        <v>93</v>
      </c>
      <c r="F398" s="2" t="s">
        <v>19</v>
      </c>
      <c r="G398" s="2" t="s">
        <v>73</v>
      </c>
      <c r="H398" s="2">
        <v>894.92</v>
      </c>
      <c r="I398" s="2">
        <v>611.82000000000005</v>
      </c>
      <c r="J398" s="2">
        <v>283.10000000000002</v>
      </c>
      <c r="K398" s="2" t="s">
        <v>21</v>
      </c>
      <c r="L398" s="2"/>
      <c r="M398" s="2">
        <v>4</v>
      </c>
      <c r="N398" s="2" t="s">
        <v>22</v>
      </c>
    </row>
    <row r="399" spans="1:14" x14ac:dyDescent="0.3">
      <c r="A399" s="2" t="s">
        <v>795</v>
      </c>
      <c r="B399" s="2" t="s">
        <v>796</v>
      </c>
      <c r="C399" s="2" t="s">
        <v>179</v>
      </c>
      <c r="D399" s="2" t="s">
        <v>42</v>
      </c>
      <c r="E399" s="2" t="s">
        <v>262</v>
      </c>
      <c r="F399" s="2" t="s">
        <v>19</v>
      </c>
      <c r="G399" s="2" t="s">
        <v>36</v>
      </c>
      <c r="H399" s="2">
        <v>1786.36</v>
      </c>
      <c r="I399" s="2">
        <v>1420.42</v>
      </c>
      <c r="J399" s="2">
        <v>365.94</v>
      </c>
      <c r="K399" s="2" t="s">
        <v>21</v>
      </c>
      <c r="L399" s="2"/>
      <c r="M399" s="2">
        <v>4</v>
      </c>
      <c r="N399" s="2" t="s">
        <v>29</v>
      </c>
    </row>
    <row r="400" spans="1:14" x14ac:dyDescent="0.3">
      <c r="A400" s="2" t="s">
        <v>797</v>
      </c>
      <c r="B400" s="2" t="s">
        <v>310</v>
      </c>
      <c r="C400" s="2" t="s">
        <v>124</v>
      </c>
      <c r="D400" s="2" t="s">
        <v>59</v>
      </c>
      <c r="E400" s="2" t="s">
        <v>194</v>
      </c>
      <c r="F400" s="2" t="s">
        <v>84</v>
      </c>
      <c r="G400" s="2" t="s">
        <v>36</v>
      </c>
      <c r="H400" s="2">
        <v>2442.46</v>
      </c>
      <c r="I400" s="2">
        <v>1346.96</v>
      </c>
      <c r="J400" s="2">
        <v>1095.5</v>
      </c>
      <c r="K400" s="2" t="s">
        <v>21</v>
      </c>
      <c r="L400" s="2"/>
      <c r="M400" s="2">
        <v>5</v>
      </c>
      <c r="N400" s="2" t="s">
        <v>29</v>
      </c>
    </row>
    <row r="401" spans="1:14" x14ac:dyDescent="0.3">
      <c r="A401" s="2" t="s">
        <v>798</v>
      </c>
      <c r="B401" s="2" t="s">
        <v>799</v>
      </c>
      <c r="C401" s="2" t="s">
        <v>16</v>
      </c>
      <c r="D401" s="2" t="s">
        <v>42</v>
      </c>
      <c r="E401" s="2" t="s">
        <v>262</v>
      </c>
      <c r="F401" s="2" t="s">
        <v>40</v>
      </c>
      <c r="G401" s="2" t="s">
        <v>36</v>
      </c>
      <c r="H401" s="2">
        <v>1739.37</v>
      </c>
      <c r="I401" s="2">
        <v>1414.95</v>
      </c>
      <c r="J401" s="2">
        <v>324.42</v>
      </c>
      <c r="K401" s="2" t="s">
        <v>21</v>
      </c>
      <c r="L401" s="2"/>
      <c r="M401" s="2">
        <v>5</v>
      </c>
      <c r="N401" s="2" t="s">
        <v>29</v>
      </c>
    </row>
    <row r="402" spans="1:14" x14ac:dyDescent="0.3">
      <c r="A402" s="2" t="s">
        <v>800</v>
      </c>
      <c r="B402" s="2" t="s">
        <v>513</v>
      </c>
      <c r="C402" s="2" t="s">
        <v>179</v>
      </c>
      <c r="D402" s="2" t="s">
        <v>33</v>
      </c>
      <c r="E402" s="2" t="s">
        <v>105</v>
      </c>
      <c r="F402" s="2" t="s">
        <v>35</v>
      </c>
      <c r="G402" s="2" t="s">
        <v>44</v>
      </c>
      <c r="H402" s="2">
        <v>1367.04</v>
      </c>
      <c r="I402" s="2">
        <v>906.53</v>
      </c>
      <c r="J402" s="2">
        <v>460.51</v>
      </c>
      <c r="K402" s="2" t="s">
        <v>21</v>
      </c>
      <c r="L402" s="2"/>
      <c r="M402" s="2">
        <v>4</v>
      </c>
      <c r="N402" s="2" t="s">
        <v>22</v>
      </c>
    </row>
    <row r="403" spans="1:14" x14ac:dyDescent="0.3">
      <c r="A403" s="2" t="s">
        <v>801</v>
      </c>
      <c r="B403" s="2" t="s">
        <v>802</v>
      </c>
      <c r="C403" s="2" t="s">
        <v>25</v>
      </c>
      <c r="D403" s="2" t="s">
        <v>17</v>
      </c>
      <c r="E403" s="2" t="s">
        <v>469</v>
      </c>
      <c r="F403" s="2" t="s">
        <v>19</v>
      </c>
      <c r="G403" s="2" t="s">
        <v>176</v>
      </c>
      <c r="H403" s="2">
        <v>1447.96</v>
      </c>
      <c r="I403" s="2">
        <v>835.01</v>
      </c>
      <c r="J403" s="2">
        <v>612.95000000000005</v>
      </c>
      <c r="K403" s="2" t="s">
        <v>21</v>
      </c>
      <c r="L403" s="2"/>
      <c r="M403" s="2">
        <v>5</v>
      </c>
      <c r="N403" s="2" t="s">
        <v>22</v>
      </c>
    </row>
    <row r="404" spans="1:14" x14ac:dyDescent="0.3">
      <c r="A404" s="2" t="s">
        <v>803</v>
      </c>
      <c r="B404" s="2" t="s">
        <v>804</v>
      </c>
      <c r="C404" s="2" t="s">
        <v>115</v>
      </c>
      <c r="D404" s="2" t="s">
        <v>7</v>
      </c>
      <c r="E404" s="2" t="s">
        <v>185</v>
      </c>
      <c r="F404" s="2" t="s">
        <v>84</v>
      </c>
      <c r="G404" s="2" t="s">
        <v>20</v>
      </c>
      <c r="H404" s="2">
        <v>2893.82</v>
      </c>
      <c r="I404" s="2">
        <v>1681.85</v>
      </c>
      <c r="J404" s="2">
        <v>1211.97</v>
      </c>
      <c r="K404" s="2" t="s">
        <v>21</v>
      </c>
      <c r="L404" s="2"/>
      <c r="M404" s="2">
        <v>4</v>
      </c>
      <c r="N404" s="2" t="s">
        <v>22</v>
      </c>
    </row>
    <row r="405" spans="1:14" x14ac:dyDescent="0.3">
      <c r="A405" s="2" t="s">
        <v>805</v>
      </c>
      <c r="B405" s="2" t="s">
        <v>806</v>
      </c>
      <c r="C405" s="2" t="s">
        <v>76</v>
      </c>
      <c r="D405" s="2" t="s">
        <v>59</v>
      </c>
      <c r="E405" s="2" t="s">
        <v>108</v>
      </c>
      <c r="F405" s="2" t="s">
        <v>84</v>
      </c>
      <c r="G405" s="2" t="s">
        <v>20</v>
      </c>
      <c r="H405" s="2">
        <v>2051.59</v>
      </c>
      <c r="I405" s="2">
        <v>1284.68</v>
      </c>
      <c r="J405" s="2">
        <v>766.91</v>
      </c>
      <c r="K405" s="2" t="s">
        <v>21</v>
      </c>
      <c r="L405" s="2"/>
      <c r="M405" s="2">
        <v>5</v>
      </c>
      <c r="N405" s="2" t="s">
        <v>29</v>
      </c>
    </row>
    <row r="406" spans="1:14" x14ac:dyDescent="0.3">
      <c r="A406" s="2" t="s">
        <v>807</v>
      </c>
      <c r="B406" s="2" t="s">
        <v>808</v>
      </c>
      <c r="C406" s="2" t="s">
        <v>32</v>
      </c>
      <c r="D406" s="2" t="s">
        <v>42</v>
      </c>
      <c r="E406" s="2" t="s">
        <v>80</v>
      </c>
      <c r="F406" s="2" t="s">
        <v>87</v>
      </c>
      <c r="G406" s="2" t="s">
        <v>36</v>
      </c>
      <c r="H406" s="2">
        <v>2899.29</v>
      </c>
      <c r="I406" s="2">
        <v>2570.44</v>
      </c>
      <c r="J406" s="2">
        <v>328.85</v>
      </c>
      <c r="K406" s="2" t="s">
        <v>21</v>
      </c>
      <c r="L406" s="2"/>
      <c r="M406" s="2">
        <v>4</v>
      </c>
      <c r="N406" s="2" t="s">
        <v>22</v>
      </c>
    </row>
    <row r="407" spans="1:14" x14ac:dyDescent="0.3">
      <c r="A407" s="2" t="s">
        <v>809</v>
      </c>
      <c r="B407" s="2" t="s">
        <v>810</v>
      </c>
      <c r="C407" s="2" t="s">
        <v>32</v>
      </c>
      <c r="D407" s="2" t="s">
        <v>42</v>
      </c>
      <c r="E407" s="2" t="s">
        <v>262</v>
      </c>
      <c r="F407" s="2" t="s">
        <v>35</v>
      </c>
      <c r="G407" s="2" t="s">
        <v>44</v>
      </c>
      <c r="H407" s="2">
        <v>477.04</v>
      </c>
      <c r="I407" s="2">
        <v>409.7</v>
      </c>
      <c r="J407" s="2">
        <v>67.34</v>
      </c>
      <c r="K407" s="2" t="s">
        <v>56</v>
      </c>
      <c r="L407" s="2">
        <v>7</v>
      </c>
      <c r="M407" s="2">
        <v>3</v>
      </c>
      <c r="N407" s="2" t="s">
        <v>22</v>
      </c>
    </row>
    <row r="408" spans="1:14" x14ac:dyDescent="0.3">
      <c r="A408" s="2" t="s">
        <v>811</v>
      </c>
      <c r="B408" s="2" t="s">
        <v>812</v>
      </c>
      <c r="C408" s="2" t="s">
        <v>124</v>
      </c>
      <c r="D408" s="2" t="s">
        <v>7</v>
      </c>
      <c r="E408" s="2" t="s">
        <v>182</v>
      </c>
      <c r="F408" s="2" t="s">
        <v>84</v>
      </c>
      <c r="G408" s="2" t="s">
        <v>44</v>
      </c>
      <c r="H408" s="2">
        <v>1019.86</v>
      </c>
      <c r="I408" s="2">
        <v>645.59</v>
      </c>
      <c r="J408" s="2">
        <v>374.27</v>
      </c>
      <c r="K408" s="2" t="s">
        <v>652</v>
      </c>
      <c r="L408" s="2"/>
      <c r="M408" s="2">
        <v>5</v>
      </c>
      <c r="N408" s="2" t="s">
        <v>22</v>
      </c>
    </row>
    <row r="409" spans="1:14" x14ac:dyDescent="0.3">
      <c r="A409" s="2" t="s">
        <v>813</v>
      </c>
      <c r="B409" s="2" t="s">
        <v>157</v>
      </c>
      <c r="C409" s="2" t="s">
        <v>54</v>
      </c>
      <c r="D409" s="2" t="s">
        <v>59</v>
      </c>
      <c r="E409" s="2" t="s">
        <v>308</v>
      </c>
      <c r="F409" s="2" t="s">
        <v>87</v>
      </c>
      <c r="G409" s="2" t="s">
        <v>20</v>
      </c>
      <c r="H409" s="2">
        <v>1104.71</v>
      </c>
      <c r="I409" s="2">
        <v>728.61</v>
      </c>
      <c r="J409" s="2">
        <v>376.1</v>
      </c>
      <c r="K409" s="2" t="s">
        <v>21</v>
      </c>
      <c r="L409" s="2"/>
      <c r="M409" s="2">
        <v>5</v>
      </c>
      <c r="N409" s="2" t="s">
        <v>29</v>
      </c>
    </row>
    <row r="410" spans="1:14" x14ac:dyDescent="0.3">
      <c r="A410" s="2" t="s">
        <v>814</v>
      </c>
      <c r="B410" s="2" t="s">
        <v>362</v>
      </c>
      <c r="C410" s="2" t="s">
        <v>64</v>
      </c>
      <c r="D410" s="2" t="s">
        <v>42</v>
      </c>
      <c r="E410" s="2" t="s">
        <v>43</v>
      </c>
      <c r="F410" s="2" t="s">
        <v>19</v>
      </c>
      <c r="G410" s="2" t="s">
        <v>36</v>
      </c>
      <c r="H410" s="2">
        <v>636.41999999999996</v>
      </c>
      <c r="I410" s="2">
        <v>574.01</v>
      </c>
      <c r="J410" s="2">
        <v>62.41</v>
      </c>
      <c r="K410" s="2" t="s">
        <v>21</v>
      </c>
      <c r="L410" s="2"/>
      <c r="M410" s="2">
        <v>3</v>
      </c>
      <c r="N410" s="2" t="s">
        <v>22</v>
      </c>
    </row>
    <row r="411" spans="1:14" x14ac:dyDescent="0.3">
      <c r="A411" s="2" t="s">
        <v>815</v>
      </c>
      <c r="B411" s="2" t="s">
        <v>816</v>
      </c>
      <c r="C411" s="2" t="s">
        <v>179</v>
      </c>
      <c r="D411" s="2" t="s">
        <v>17</v>
      </c>
      <c r="E411" s="2" t="s">
        <v>18</v>
      </c>
      <c r="F411" s="2" t="s">
        <v>35</v>
      </c>
      <c r="G411" s="2" t="s">
        <v>20</v>
      </c>
      <c r="H411" s="2">
        <v>1788.07</v>
      </c>
      <c r="I411" s="2">
        <v>1159.02</v>
      </c>
      <c r="J411" s="2">
        <v>629.04999999999995</v>
      </c>
      <c r="K411" s="2" t="s">
        <v>21</v>
      </c>
      <c r="L411" s="2"/>
      <c r="M411" s="2">
        <v>3</v>
      </c>
      <c r="N411" s="2" t="s">
        <v>29</v>
      </c>
    </row>
    <row r="412" spans="1:14" x14ac:dyDescent="0.3">
      <c r="A412" s="2" t="s">
        <v>817</v>
      </c>
      <c r="B412" s="2" t="s">
        <v>818</v>
      </c>
      <c r="C412" s="2" t="s">
        <v>115</v>
      </c>
      <c r="D412" s="2" t="s">
        <v>33</v>
      </c>
      <c r="E412" s="2"/>
      <c r="F412" s="2" t="s">
        <v>84</v>
      </c>
      <c r="G412" s="2" t="s">
        <v>44</v>
      </c>
      <c r="H412" s="2">
        <v>3494.75</v>
      </c>
      <c r="I412" s="2">
        <v>2309.17</v>
      </c>
      <c r="J412" s="2">
        <v>1185.58</v>
      </c>
      <c r="K412" s="2" t="s">
        <v>21</v>
      </c>
      <c r="L412" s="2"/>
      <c r="M412" s="2">
        <v>5</v>
      </c>
      <c r="N412" s="2" t="s">
        <v>22</v>
      </c>
    </row>
    <row r="413" spans="1:14" x14ac:dyDescent="0.3">
      <c r="A413" s="2" t="s">
        <v>819</v>
      </c>
      <c r="B413" s="2" t="s">
        <v>820</v>
      </c>
      <c r="C413" s="2" t="s">
        <v>16</v>
      </c>
      <c r="D413" s="2" t="s">
        <v>7</v>
      </c>
      <c r="E413" s="2" t="s">
        <v>55</v>
      </c>
      <c r="F413" s="2" t="s">
        <v>35</v>
      </c>
      <c r="G413" s="2" t="s">
        <v>28</v>
      </c>
      <c r="H413" s="2">
        <v>3104.05</v>
      </c>
      <c r="I413" s="2">
        <v>2088.65</v>
      </c>
      <c r="J413" s="2">
        <v>1015.4</v>
      </c>
      <c r="K413" s="2" t="s">
        <v>21</v>
      </c>
      <c r="L413" s="2"/>
      <c r="M413" s="2">
        <v>5</v>
      </c>
      <c r="N413" s="2" t="s">
        <v>22</v>
      </c>
    </row>
    <row r="414" spans="1:14" x14ac:dyDescent="0.3">
      <c r="A414" s="2" t="s">
        <v>821</v>
      </c>
      <c r="B414" s="2" t="s">
        <v>599</v>
      </c>
      <c r="C414" s="2" t="s">
        <v>104</v>
      </c>
      <c r="D414" s="2" t="s">
        <v>7</v>
      </c>
      <c r="E414" s="2" t="s">
        <v>128</v>
      </c>
      <c r="F414" s="2" t="s">
        <v>84</v>
      </c>
      <c r="G414" s="2" t="s">
        <v>20</v>
      </c>
      <c r="H414" s="2">
        <v>2972.72</v>
      </c>
      <c r="I414" s="2">
        <v>2016.09</v>
      </c>
      <c r="J414" s="2">
        <v>956.63</v>
      </c>
      <c r="K414" s="2" t="s">
        <v>21</v>
      </c>
      <c r="L414" s="2"/>
      <c r="M414" s="2">
        <v>3</v>
      </c>
      <c r="N414" s="2" t="s">
        <v>29</v>
      </c>
    </row>
    <row r="415" spans="1:14" x14ac:dyDescent="0.3">
      <c r="A415" s="2" t="s">
        <v>822</v>
      </c>
      <c r="B415" s="2" t="s">
        <v>823</v>
      </c>
      <c r="C415" s="2" t="s">
        <v>64</v>
      </c>
      <c r="D415" s="2" t="s">
        <v>59</v>
      </c>
      <c r="E415" s="2" t="s">
        <v>301</v>
      </c>
      <c r="F415" s="2" t="s">
        <v>84</v>
      </c>
      <c r="G415" s="2" t="s">
        <v>44</v>
      </c>
      <c r="H415" s="2">
        <v>1555.81</v>
      </c>
      <c r="I415" s="2">
        <v>1180.98</v>
      </c>
      <c r="J415" s="2">
        <v>374.83</v>
      </c>
      <c r="K415" s="2" t="s">
        <v>56</v>
      </c>
      <c r="L415" s="2">
        <v>8</v>
      </c>
      <c r="M415" s="2">
        <v>2</v>
      </c>
      <c r="N415" s="2" t="s">
        <v>22</v>
      </c>
    </row>
    <row r="416" spans="1:14" x14ac:dyDescent="0.3">
      <c r="A416" s="2" t="s">
        <v>824</v>
      </c>
      <c r="B416" s="2" t="s">
        <v>133</v>
      </c>
      <c r="C416" s="2" t="s">
        <v>54</v>
      </c>
      <c r="D416" s="2" t="s">
        <v>17</v>
      </c>
      <c r="E416" s="2" t="s">
        <v>469</v>
      </c>
      <c r="F416" s="2" t="s">
        <v>19</v>
      </c>
      <c r="G416" s="2" t="s">
        <v>28</v>
      </c>
      <c r="H416" s="2">
        <v>508.32</v>
      </c>
      <c r="I416" s="2">
        <v>357.2</v>
      </c>
      <c r="J416" s="2">
        <v>151.12</v>
      </c>
      <c r="K416" s="2" t="s">
        <v>56</v>
      </c>
      <c r="L416" s="2">
        <v>4</v>
      </c>
      <c r="M416" s="2">
        <v>2</v>
      </c>
      <c r="N416" s="2" t="s">
        <v>22</v>
      </c>
    </row>
    <row r="417" spans="1:14" x14ac:dyDescent="0.3">
      <c r="A417" s="2" t="s">
        <v>825</v>
      </c>
      <c r="B417" s="2" t="s">
        <v>539</v>
      </c>
      <c r="C417" s="2" t="s">
        <v>111</v>
      </c>
      <c r="D417" s="2" t="s">
        <v>17</v>
      </c>
      <c r="E417" s="2" t="s">
        <v>100</v>
      </c>
      <c r="F417" s="2" t="s">
        <v>87</v>
      </c>
      <c r="G417" s="2" t="s">
        <v>558</v>
      </c>
      <c r="H417" s="2">
        <v>1522.43</v>
      </c>
      <c r="I417" s="2">
        <v>1051.1099999999999</v>
      </c>
      <c r="J417" s="2">
        <v>471.32</v>
      </c>
      <c r="K417" s="2" t="s">
        <v>21</v>
      </c>
      <c r="L417" s="2"/>
      <c r="M417" s="2">
        <v>5</v>
      </c>
      <c r="N417" s="2" t="s">
        <v>22</v>
      </c>
    </row>
    <row r="418" spans="1:14" x14ac:dyDescent="0.3">
      <c r="A418" s="2" t="s">
        <v>826</v>
      </c>
      <c r="B418" s="2" t="s">
        <v>471</v>
      </c>
      <c r="C418" s="2" t="s">
        <v>827</v>
      </c>
      <c r="D418" s="2" t="s">
        <v>17</v>
      </c>
      <c r="E418" s="2" t="s">
        <v>72</v>
      </c>
      <c r="F418" s="2" t="s">
        <v>87</v>
      </c>
      <c r="G418" s="2" t="s">
        <v>36</v>
      </c>
      <c r="H418" s="2">
        <v>2806.73</v>
      </c>
      <c r="I418" s="2">
        <v>1904</v>
      </c>
      <c r="J418" s="2">
        <v>902.73</v>
      </c>
      <c r="K418" s="2" t="s">
        <v>21</v>
      </c>
      <c r="L418" s="2"/>
      <c r="M418" s="2">
        <v>2</v>
      </c>
      <c r="N418" s="2" t="s">
        <v>22</v>
      </c>
    </row>
    <row r="419" spans="1:14" x14ac:dyDescent="0.3">
      <c r="A419" s="2" t="s">
        <v>828</v>
      </c>
      <c r="B419" s="2" t="s">
        <v>829</v>
      </c>
      <c r="C419" s="2" t="s">
        <v>25</v>
      </c>
      <c r="D419" s="2" t="s">
        <v>59</v>
      </c>
      <c r="E419" s="2" t="s">
        <v>194</v>
      </c>
      <c r="F419" s="2" t="s">
        <v>35</v>
      </c>
      <c r="G419" s="2" t="s">
        <v>73</v>
      </c>
      <c r="H419" s="2">
        <v>3040.29</v>
      </c>
      <c r="I419" s="2">
        <v>1964.53</v>
      </c>
      <c r="J419" s="2">
        <v>1075.76</v>
      </c>
      <c r="K419" s="2" t="s">
        <v>56</v>
      </c>
      <c r="L419" s="2">
        <v>8</v>
      </c>
      <c r="M419" s="2">
        <v>3</v>
      </c>
      <c r="N419" s="2" t="s">
        <v>29</v>
      </c>
    </row>
    <row r="420" spans="1:14" x14ac:dyDescent="0.3">
      <c r="A420" s="2" t="s">
        <v>830</v>
      </c>
      <c r="B420" s="2" t="s">
        <v>623</v>
      </c>
      <c r="C420" s="2" t="s">
        <v>104</v>
      </c>
      <c r="D420" s="2" t="s">
        <v>7</v>
      </c>
      <c r="E420" s="2" t="s">
        <v>69</v>
      </c>
      <c r="F420" s="2" t="s">
        <v>40</v>
      </c>
      <c r="G420" s="2" t="s">
        <v>28</v>
      </c>
      <c r="H420" s="2">
        <v>1359.22</v>
      </c>
      <c r="I420" s="2">
        <v>937.98</v>
      </c>
      <c r="J420" s="2">
        <v>421.24</v>
      </c>
      <c r="K420" s="2" t="s">
        <v>21</v>
      </c>
      <c r="L420" s="2"/>
      <c r="M420" s="2">
        <v>4</v>
      </c>
      <c r="N420" s="2" t="s">
        <v>22</v>
      </c>
    </row>
    <row r="421" spans="1:14" x14ac:dyDescent="0.3">
      <c r="A421" s="2" t="s">
        <v>831</v>
      </c>
      <c r="B421" s="2" t="s">
        <v>832</v>
      </c>
      <c r="C421" s="2" t="s">
        <v>179</v>
      </c>
      <c r="D421" s="2" t="s">
        <v>17</v>
      </c>
      <c r="E421" s="2" t="s">
        <v>100</v>
      </c>
      <c r="F421" s="2" t="s">
        <v>35</v>
      </c>
      <c r="G421" s="2" t="s">
        <v>44</v>
      </c>
      <c r="H421" s="2">
        <v>1280.8399999999999</v>
      </c>
      <c r="I421" s="2">
        <v>948.9</v>
      </c>
      <c r="J421" s="2">
        <v>331.94</v>
      </c>
      <c r="K421" s="2" t="s">
        <v>21</v>
      </c>
      <c r="L421" s="2"/>
      <c r="M421" s="2">
        <v>4</v>
      </c>
      <c r="N421" s="2" t="s">
        <v>29</v>
      </c>
    </row>
    <row r="422" spans="1:14" x14ac:dyDescent="0.3">
      <c r="A422" s="2" t="s">
        <v>833</v>
      </c>
      <c r="B422" s="2" t="s">
        <v>834</v>
      </c>
      <c r="C422" s="2" t="s">
        <v>111</v>
      </c>
      <c r="D422" s="2" t="s">
        <v>42</v>
      </c>
      <c r="E422" s="2" t="s">
        <v>262</v>
      </c>
      <c r="F422" s="2" t="s">
        <v>84</v>
      </c>
      <c r="G422" s="2" t="s">
        <v>44</v>
      </c>
      <c r="H422" s="2">
        <v>2212.29</v>
      </c>
      <c r="I422" s="2">
        <v>1870.75</v>
      </c>
      <c r="J422" s="2">
        <v>341.54</v>
      </c>
      <c r="K422" s="2" t="s">
        <v>21</v>
      </c>
      <c r="L422" s="2"/>
      <c r="M422" s="2">
        <v>3</v>
      </c>
      <c r="N422" s="2" t="s">
        <v>22</v>
      </c>
    </row>
    <row r="423" spans="1:14" x14ac:dyDescent="0.3">
      <c r="A423" s="2" t="s">
        <v>835</v>
      </c>
      <c r="B423" s="2" t="s">
        <v>836</v>
      </c>
      <c r="C423" s="2" t="s">
        <v>64</v>
      </c>
      <c r="D423" s="2" t="s">
        <v>59</v>
      </c>
      <c r="E423" s="2" t="s">
        <v>490</v>
      </c>
      <c r="F423" s="2" t="s">
        <v>40</v>
      </c>
      <c r="G423" s="2" t="s">
        <v>20</v>
      </c>
      <c r="H423" s="2">
        <v>2099.5500000000002</v>
      </c>
      <c r="I423" s="2">
        <v>1610.83</v>
      </c>
      <c r="J423" s="2">
        <v>488.72</v>
      </c>
      <c r="K423" s="2" t="s">
        <v>21</v>
      </c>
      <c r="L423" s="2"/>
      <c r="M423" s="2">
        <v>5</v>
      </c>
      <c r="N423" s="2" t="s">
        <v>22</v>
      </c>
    </row>
    <row r="424" spans="1:14" x14ac:dyDescent="0.3">
      <c r="A424" s="2" t="s">
        <v>837</v>
      </c>
      <c r="B424" s="2" t="s">
        <v>838</v>
      </c>
      <c r="C424" s="2" t="s">
        <v>16</v>
      </c>
      <c r="D424" s="2" t="s">
        <v>33</v>
      </c>
      <c r="E424" s="2" t="s">
        <v>119</v>
      </c>
      <c r="F424" s="2" t="s">
        <v>27</v>
      </c>
      <c r="G424" s="2" t="s">
        <v>20</v>
      </c>
      <c r="H424" s="2">
        <v>713.13</v>
      </c>
      <c r="I424" s="2">
        <v>531.88</v>
      </c>
      <c r="J424" s="2">
        <v>181.25</v>
      </c>
      <c r="K424" s="2" t="s">
        <v>56</v>
      </c>
      <c r="L424" s="2">
        <v>3</v>
      </c>
      <c r="M424" s="2">
        <v>1</v>
      </c>
      <c r="N424" s="2" t="s">
        <v>22</v>
      </c>
    </row>
    <row r="425" spans="1:14" x14ac:dyDescent="0.3">
      <c r="A425" s="2" t="s">
        <v>839</v>
      </c>
      <c r="B425" s="2" t="s">
        <v>840</v>
      </c>
      <c r="C425" s="2" t="s">
        <v>318</v>
      </c>
      <c r="D425" s="2" t="s">
        <v>7</v>
      </c>
      <c r="E425" s="2" t="s">
        <v>128</v>
      </c>
      <c r="F425" s="2" t="s">
        <v>87</v>
      </c>
      <c r="G425" s="2" t="s">
        <v>28</v>
      </c>
      <c r="H425" s="2">
        <v>963.92</v>
      </c>
      <c r="I425" s="2">
        <v>572.84</v>
      </c>
      <c r="J425" s="2">
        <v>391.08</v>
      </c>
      <c r="K425" s="2" t="s">
        <v>56</v>
      </c>
      <c r="L425" s="2">
        <v>2</v>
      </c>
      <c r="M425" s="2">
        <v>4</v>
      </c>
      <c r="N425" s="2" t="s">
        <v>29</v>
      </c>
    </row>
    <row r="426" spans="1:14" x14ac:dyDescent="0.3">
      <c r="A426" s="2" t="s">
        <v>841</v>
      </c>
      <c r="B426" s="2" t="s">
        <v>842</v>
      </c>
      <c r="C426" s="2" t="s">
        <v>54</v>
      </c>
      <c r="D426" s="2" t="s">
        <v>42</v>
      </c>
      <c r="E426" s="2"/>
      <c r="F426" s="2" t="s">
        <v>87</v>
      </c>
      <c r="G426" s="2" t="s">
        <v>36</v>
      </c>
      <c r="H426" s="2">
        <v>4259.3900000000003</v>
      </c>
      <c r="I426" s="2">
        <v>3556.96</v>
      </c>
      <c r="J426" s="2">
        <v>702.43</v>
      </c>
      <c r="K426" s="2" t="s">
        <v>56</v>
      </c>
      <c r="L426" s="2">
        <v>3</v>
      </c>
      <c r="M426" s="2">
        <v>4</v>
      </c>
      <c r="N426" s="2" t="s">
        <v>22</v>
      </c>
    </row>
    <row r="427" spans="1:14" x14ac:dyDescent="0.3">
      <c r="A427" s="2" t="s">
        <v>843</v>
      </c>
      <c r="B427" s="2" t="s">
        <v>844</v>
      </c>
      <c r="C427" s="2" t="s">
        <v>25</v>
      </c>
      <c r="D427" s="2" t="s">
        <v>42</v>
      </c>
      <c r="E427" s="2" t="s">
        <v>43</v>
      </c>
      <c r="F427" s="2" t="s">
        <v>19</v>
      </c>
      <c r="G427" s="2" t="s">
        <v>845</v>
      </c>
      <c r="H427" s="2">
        <v>287.47000000000003</v>
      </c>
      <c r="I427" s="2">
        <v>205.67</v>
      </c>
      <c r="J427" s="2">
        <v>81.8</v>
      </c>
      <c r="K427" s="2" t="s">
        <v>21</v>
      </c>
      <c r="L427" s="2"/>
      <c r="M427" s="2">
        <v>5</v>
      </c>
      <c r="N427" s="2" t="s">
        <v>22</v>
      </c>
    </row>
    <row r="428" spans="1:14" x14ac:dyDescent="0.3">
      <c r="A428" s="2" t="s">
        <v>846</v>
      </c>
      <c r="B428" s="2" t="s">
        <v>847</v>
      </c>
      <c r="C428" s="2" t="s">
        <v>64</v>
      </c>
      <c r="D428" s="2" t="s">
        <v>59</v>
      </c>
      <c r="E428" s="2" t="s">
        <v>60</v>
      </c>
      <c r="F428" s="2" t="s">
        <v>27</v>
      </c>
      <c r="G428" s="2" t="s">
        <v>20</v>
      </c>
      <c r="H428" s="2">
        <v>197.53</v>
      </c>
      <c r="I428" s="2">
        <v>152.91</v>
      </c>
      <c r="J428" s="2">
        <v>44.62</v>
      </c>
      <c r="K428" s="2" t="s">
        <v>21</v>
      </c>
      <c r="L428" s="2"/>
      <c r="M428" s="2">
        <v>5</v>
      </c>
      <c r="N428" s="2" t="s">
        <v>22</v>
      </c>
    </row>
    <row r="429" spans="1:14" x14ac:dyDescent="0.3">
      <c r="A429" s="2" t="s">
        <v>848</v>
      </c>
      <c r="B429" s="2" t="s">
        <v>849</v>
      </c>
      <c r="C429" s="2" t="s">
        <v>179</v>
      </c>
      <c r="D429" s="2" t="s">
        <v>33</v>
      </c>
      <c r="E429" s="2" t="s">
        <v>171</v>
      </c>
      <c r="F429" s="2" t="s">
        <v>35</v>
      </c>
      <c r="G429" s="2" t="s">
        <v>28</v>
      </c>
      <c r="H429" s="2">
        <v>1719.26</v>
      </c>
      <c r="I429" s="2">
        <v>1080.21</v>
      </c>
      <c r="J429" s="2">
        <v>639.04999999999995</v>
      </c>
      <c r="K429" s="2" t="s">
        <v>21</v>
      </c>
      <c r="L429" s="2"/>
      <c r="M429" s="2">
        <v>5</v>
      </c>
      <c r="N429" s="2" t="s">
        <v>22</v>
      </c>
    </row>
    <row r="430" spans="1:14" x14ac:dyDescent="0.3">
      <c r="A430" s="2" t="s">
        <v>850</v>
      </c>
      <c r="B430" s="2" t="s">
        <v>178</v>
      </c>
      <c r="C430" s="2" t="s">
        <v>179</v>
      </c>
      <c r="D430" s="2" t="s">
        <v>17</v>
      </c>
      <c r="E430" s="2" t="s">
        <v>18</v>
      </c>
      <c r="F430" s="2" t="s">
        <v>87</v>
      </c>
      <c r="G430" s="2" t="s">
        <v>36</v>
      </c>
      <c r="H430" s="2">
        <v>4669.4799999999996</v>
      </c>
      <c r="I430" s="2">
        <v>3076.3</v>
      </c>
      <c r="J430" s="2">
        <v>1593.18</v>
      </c>
      <c r="K430" s="2" t="s">
        <v>21</v>
      </c>
      <c r="L430" s="2"/>
      <c r="M430" s="2">
        <v>4</v>
      </c>
      <c r="N430" s="2" t="s">
        <v>22</v>
      </c>
    </row>
    <row r="431" spans="1:14" x14ac:dyDescent="0.3">
      <c r="A431" s="2" t="s">
        <v>851</v>
      </c>
      <c r="B431" s="2" t="s">
        <v>346</v>
      </c>
      <c r="C431" s="2" t="s">
        <v>179</v>
      </c>
      <c r="D431" s="2" t="s">
        <v>33</v>
      </c>
      <c r="E431" s="2" t="s">
        <v>297</v>
      </c>
      <c r="F431" s="2" t="s">
        <v>84</v>
      </c>
      <c r="G431" s="2" t="s">
        <v>28</v>
      </c>
      <c r="H431" s="2">
        <v>2258.02</v>
      </c>
      <c r="I431" s="2">
        <v>1578.87</v>
      </c>
      <c r="J431" s="2">
        <v>679.15</v>
      </c>
      <c r="K431" s="2" t="s">
        <v>21</v>
      </c>
      <c r="L431" s="2"/>
      <c r="M431" s="2">
        <v>5</v>
      </c>
      <c r="N431" s="2" t="s">
        <v>22</v>
      </c>
    </row>
    <row r="432" spans="1:14" x14ac:dyDescent="0.3">
      <c r="A432" s="2" t="s">
        <v>852</v>
      </c>
      <c r="B432" s="2" t="s">
        <v>289</v>
      </c>
      <c r="C432" s="2" t="s">
        <v>32</v>
      </c>
      <c r="D432" s="2" t="s">
        <v>59</v>
      </c>
      <c r="E432" s="2" t="s">
        <v>194</v>
      </c>
      <c r="F432" s="2" t="s">
        <v>19</v>
      </c>
      <c r="G432" s="2" t="s">
        <v>20</v>
      </c>
      <c r="H432" s="2">
        <v>457.11</v>
      </c>
      <c r="I432" s="2">
        <v>275.64999999999998</v>
      </c>
      <c r="J432" s="2">
        <v>181.46</v>
      </c>
      <c r="K432" s="2" t="s">
        <v>56</v>
      </c>
      <c r="L432" s="2">
        <v>3</v>
      </c>
      <c r="M432" s="2">
        <v>4</v>
      </c>
      <c r="N432" s="2" t="s">
        <v>22</v>
      </c>
    </row>
    <row r="433" spans="1:14" x14ac:dyDescent="0.3">
      <c r="A433" s="2" t="s">
        <v>853</v>
      </c>
      <c r="B433" s="2" t="s">
        <v>854</v>
      </c>
      <c r="C433" s="2" t="s">
        <v>16</v>
      </c>
      <c r="D433" s="2" t="s">
        <v>17</v>
      </c>
      <c r="E433" s="2" t="s">
        <v>72</v>
      </c>
      <c r="F433" s="2" t="s">
        <v>35</v>
      </c>
      <c r="G433" s="2" t="s">
        <v>44</v>
      </c>
      <c r="H433" s="2">
        <v>1836.46</v>
      </c>
      <c r="I433" s="2">
        <v>1333.56</v>
      </c>
      <c r="J433" s="2">
        <v>502.9</v>
      </c>
      <c r="K433" s="2" t="s">
        <v>56</v>
      </c>
      <c r="L433" s="2">
        <v>5</v>
      </c>
      <c r="M433" s="2">
        <v>2</v>
      </c>
      <c r="N433" s="2" t="s">
        <v>22</v>
      </c>
    </row>
    <row r="434" spans="1:14" x14ac:dyDescent="0.3">
      <c r="A434" s="2" t="s">
        <v>855</v>
      </c>
      <c r="B434" s="2" t="s">
        <v>856</v>
      </c>
      <c r="C434" s="2" t="s">
        <v>54</v>
      </c>
      <c r="D434" s="2" t="s">
        <v>17</v>
      </c>
      <c r="E434" s="2" t="s">
        <v>226</v>
      </c>
      <c r="F434" s="2" t="s">
        <v>35</v>
      </c>
      <c r="G434" s="2" t="s">
        <v>44</v>
      </c>
      <c r="H434" s="2">
        <v>3127.46</v>
      </c>
      <c r="I434" s="2">
        <v>2084.94</v>
      </c>
      <c r="J434" s="2">
        <v>1042.52</v>
      </c>
      <c r="K434" s="2" t="s">
        <v>21</v>
      </c>
      <c r="L434" s="2"/>
      <c r="M434" s="2">
        <v>5</v>
      </c>
      <c r="N434" s="2" t="s">
        <v>22</v>
      </c>
    </row>
    <row r="435" spans="1:14" x14ac:dyDescent="0.3">
      <c r="A435" s="2" t="s">
        <v>857</v>
      </c>
      <c r="B435" s="2" t="s">
        <v>237</v>
      </c>
      <c r="C435" s="2" t="s">
        <v>124</v>
      </c>
      <c r="D435" s="2" t="s">
        <v>42</v>
      </c>
      <c r="E435" s="2" t="s">
        <v>262</v>
      </c>
      <c r="F435" s="2" t="s">
        <v>35</v>
      </c>
      <c r="G435" s="2" t="s">
        <v>73</v>
      </c>
      <c r="H435" s="2">
        <v>551.59</v>
      </c>
      <c r="I435" s="2">
        <v>395.64</v>
      </c>
      <c r="J435" s="2">
        <v>155.94999999999999</v>
      </c>
      <c r="K435" s="2" t="s">
        <v>21</v>
      </c>
      <c r="L435" s="2"/>
      <c r="M435" s="2">
        <v>4</v>
      </c>
      <c r="N435" s="2" t="s">
        <v>29</v>
      </c>
    </row>
    <row r="436" spans="1:14" x14ac:dyDescent="0.3">
      <c r="A436" s="2" t="s">
        <v>858</v>
      </c>
      <c r="B436" s="2" t="s">
        <v>153</v>
      </c>
      <c r="C436" s="2" t="s">
        <v>54</v>
      </c>
      <c r="D436" s="2" t="s">
        <v>33</v>
      </c>
      <c r="E436" s="2" t="s">
        <v>34</v>
      </c>
      <c r="F436" s="2" t="s">
        <v>19</v>
      </c>
      <c r="G436" s="2" t="s">
        <v>28</v>
      </c>
      <c r="H436" s="2">
        <v>1363.64</v>
      </c>
      <c r="I436" s="2">
        <v>920.95</v>
      </c>
      <c r="J436" s="2">
        <v>442.69</v>
      </c>
      <c r="K436" s="2" t="s">
        <v>21</v>
      </c>
      <c r="L436" s="2"/>
      <c r="M436" s="2">
        <v>5</v>
      </c>
      <c r="N436" s="2" t="s">
        <v>22</v>
      </c>
    </row>
    <row r="437" spans="1:14" x14ac:dyDescent="0.3">
      <c r="A437" s="2" t="s">
        <v>859</v>
      </c>
      <c r="B437" s="2" t="s">
        <v>860</v>
      </c>
      <c r="C437" s="2" t="s">
        <v>16</v>
      </c>
      <c r="D437" s="2" t="s">
        <v>59</v>
      </c>
      <c r="E437" s="2" t="s">
        <v>301</v>
      </c>
      <c r="F437" s="2" t="s">
        <v>40</v>
      </c>
      <c r="G437" s="2" t="s">
        <v>73</v>
      </c>
      <c r="H437" s="2">
        <v>914.17</v>
      </c>
      <c r="I437" s="2">
        <v>541.77</v>
      </c>
      <c r="J437" s="2">
        <v>372.4</v>
      </c>
      <c r="K437" s="2" t="s">
        <v>21</v>
      </c>
      <c r="L437" s="2"/>
      <c r="M437" s="2">
        <v>4</v>
      </c>
      <c r="N437" s="2" t="s">
        <v>22</v>
      </c>
    </row>
    <row r="438" spans="1:14" x14ac:dyDescent="0.3">
      <c r="A438" s="2" t="s">
        <v>861</v>
      </c>
      <c r="B438" s="2" t="s">
        <v>344</v>
      </c>
      <c r="C438" s="2" t="s">
        <v>64</v>
      </c>
      <c r="D438" s="2" t="s">
        <v>33</v>
      </c>
      <c r="E438" s="2" t="s">
        <v>119</v>
      </c>
      <c r="F438" s="2" t="s">
        <v>862</v>
      </c>
      <c r="G438" s="2" t="s">
        <v>44</v>
      </c>
      <c r="H438" s="2">
        <v>501.11</v>
      </c>
      <c r="I438" s="2">
        <v>379.13</v>
      </c>
      <c r="J438" s="2">
        <v>121.98</v>
      </c>
      <c r="K438" s="2" t="s">
        <v>21</v>
      </c>
      <c r="L438" s="2"/>
      <c r="M438" s="2">
        <v>5</v>
      </c>
      <c r="N438" s="2" t="s">
        <v>22</v>
      </c>
    </row>
    <row r="439" spans="1:14" x14ac:dyDescent="0.3">
      <c r="A439" s="2" t="s">
        <v>863</v>
      </c>
      <c r="B439" s="2" t="s">
        <v>864</v>
      </c>
      <c r="C439" s="2" t="s">
        <v>54</v>
      </c>
      <c r="D439" s="2" t="s">
        <v>17</v>
      </c>
      <c r="E439" s="2" t="s">
        <v>96</v>
      </c>
      <c r="F439" s="2" t="s">
        <v>40</v>
      </c>
      <c r="G439" s="2" t="s">
        <v>28</v>
      </c>
      <c r="H439" s="2">
        <v>2152.77</v>
      </c>
      <c r="I439" s="2">
        <v>1476.48</v>
      </c>
      <c r="J439" s="2">
        <v>676.29</v>
      </c>
      <c r="K439" s="2" t="s">
        <v>56</v>
      </c>
      <c r="L439" s="2">
        <v>5</v>
      </c>
      <c r="M439" s="2">
        <v>2</v>
      </c>
      <c r="N439" s="2" t="s">
        <v>22</v>
      </c>
    </row>
    <row r="440" spans="1:14" x14ac:dyDescent="0.3">
      <c r="A440" s="2" t="s">
        <v>865</v>
      </c>
      <c r="B440" s="2" t="s">
        <v>866</v>
      </c>
      <c r="C440" s="2" t="s">
        <v>64</v>
      </c>
      <c r="D440" s="2" t="s">
        <v>42</v>
      </c>
      <c r="E440" s="2" t="s">
        <v>80</v>
      </c>
      <c r="F440" s="2" t="s">
        <v>40</v>
      </c>
      <c r="G440" s="2" t="s">
        <v>36</v>
      </c>
      <c r="H440" s="2">
        <v>2222.89</v>
      </c>
      <c r="I440" s="2">
        <v>1573.05</v>
      </c>
      <c r="J440" s="2">
        <v>649.84</v>
      </c>
      <c r="K440" s="2" t="s">
        <v>56</v>
      </c>
      <c r="L440" s="2">
        <v>7</v>
      </c>
      <c r="M440" s="2">
        <v>4</v>
      </c>
      <c r="N440" s="2" t="s">
        <v>29</v>
      </c>
    </row>
    <row r="441" spans="1:14" x14ac:dyDescent="0.3">
      <c r="A441" s="2" t="s">
        <v>867</v>
      </c>
      <c r="B441" s="2" t="s">
        <v>868</v>
      </c>
      <c r="C441" s="2" t="s">
        <v>104</v>
      </c>
      <c r="D441" s="2" t="s">
        <v>17</v>
      </c>
      <c r="E441" s="2" t="s">
        <v>26</v>
      </c>
      <c r="F441" s="2" t="s">
        <v>87</v>
      </c>
      <c r="G441" s="2" t="s">
        <v>20</v>
      </c>
      <c r="H441" s="2">
        <v>636.36</v>
      </c>
      <c r="I441" s="2">
        <v>474.65</v>
      </c>
      <c r="J441" s="2">
        <v>161.71</v>
      </c>
      <c r="K441" s="2" t="s">
        <v>21</v>
      </c>
      <c r="L441" s="2"/>
      <c r="M441" s="2">
        <v>3</v>
      </c>
      <c r="N441" s="2" t="s">
        <v>22</v>
      </c>
    </row>
    <row r="442" spans="1:14" x14ac:dyDescent="0.3">
      <c r="A442" s="2" t="s">
        <v>869</v>
      </c>
      <c r="B442" s="2" t="s">
        <v>818</v>
      </c>
      <c r="C442" s="2" t="s">
        <v>115</v>
      </c>
      <c r="D442" s="2" t="s">
        <v>59</v>
      </c>
      <c r="E442" s="2" t="s">
        <v>490</v>
      </c>
      <c r="F442" s="2" t="s">
        <v>87</v>
      </c>
      <c r="G442" s="2" t="s">
        <v>36</v>
      </c>
      <c r="H442" s="2">
        <v>2759.67</v>
      </c>
      <c r="I442" s="2">
        <v>1790.55</v>
      </c>
      <c r="J442" s="2">
        <v>969.12</v>
      </c>
      <c r="K442" s="2" t="s">
        <v>21</v>
      </c>
      <c r="L442" s="2"/>
      <c r="M442" s="2">
        <v>5</v>
      </c>
      <c r="N442" s="2" t="s">
        <v>22</v>
      </c>
    </row>
    <row r="443" spans="1:14" x14ac:dyDescent="0.3">
      <c r="A443" s="2" t="s">
        <v>870</v>
      </c>
      <c r="B443" s="2" t="s">
        <v>871</v>
      </c>
      <c r="C443" s="2" t="s">
        <v>111</v>
      </c>
      <c r="D443" s="2" t="s">
        <v>7</v>
      </c>
      <c r="E443" s="2" t="s">
        <v>128</v>
      </c>
      <c r="F443" s="2" t="s">
        <v>84</v>
      </c>
      <c r="G443" s="2" t="s">
        <v>36</v>
      </c>
      <c r="H443" s="2">
        <v>2701.81</v>
      </c>
      <c r="I443" s="2">
        <v>1614.62</v>
      </c>
      <c r="J443" s="2">
        <v>1087.19</v>
      </c>
      <c r="K443" s="2" t="s">
        <v>21</v>
      </c>
      <c r="L443" s="2"/>
      <c r="M443" s="2">
        <v>5</v>
      </c>
      <c r="N443" s="2" t="s">
        <v>29</v>
      </c>
    </row>
    <row r="444" spans="1:14" x14ac:dyDescent="0.3">
      <c r="A444" s="2" t="s">
        <v>872</v>
      </c>
      <c r="B444" s="2" t="s">
        <v>289</v>
      </c>
      <c r="C444" s="2" t="s">
        <v>32</v>
      </c>
      <c r="D444" s="2" t="s">
        <v>33</v>
      </c>
      <c r="E444" s="2" t="s">
        <v>39</v>
      </c>
      <c r="F444" s="2" t="s">
        <v>27</v>
      </c>
      <c r="G444" s="2" t="s">
        <v>20</v>
      </c>
      <c r="H444" s="2">
        <v>452.1</v>
      </c>
      <c r="I444" s="2">
        <v>285.27999999999997</v>
      </c>
      <c r="J444" s="2">
        <v>166.82</v>
      </c>
      <c r="K444" s="2" t="s">
        <v>21</v>
      </c>
      <c r="L444" s="2"/>
      <c r="M444" s="2">
        <v>3</v>
      </c>
      <c r="N444" s="2" t="s">
        <v>22</v>
      </c>
    </row>
    <row r="445" spans="1:14" x14ac:dyDescent="0.3">
      <c r="A445" s="2" t="s">
        <v>873</v>
      </c>
      <c r="B445" s="2" t="s">
        <v>462</v>
      </c>
      <c r="C445" s="2" t="s">
        <v>25</v>
      </c>
      <c r="D445" s="2" t="s">
        <v>42</v>
      </c>
      <c r="E445" s="2" t="s">
        <v>80</v>
      </c>
      <c r="F445" s="2" t="s">
        <v>40</v>
      </c>
      <c r="G445" s="2" t="s">
        <v>44</v>
      </c>
      <c r="H445" s="2">
        <v>1589.57</v>
      </c>
      <c r="I445" s="2">
        <v>1327.16</v>
      </c>
      <c r="J445" s="2">
        <v>262.41000000000003</v>
      </c>
      <c r="K445" s="2" t="s">
        <v>56</v>
      </c>
      <c r="L445" s="2">
        <v>9</v>
      </c>
      <c r="M445" s="2">
        <v>2</v>
      </c>
      <c r="N445" s="2" t="s">
        <v>22</v>
      </c>
    </row>
    <row r="446" spans="1:14" x14ac:dyDescent="0.3">
      <c r="A446" s="2" t="s">
        <v>874</v>
      </c>
      <c r="B446" s="2" t="s">
        <v>875</v>
      </c>
      <c r="C446" s="2" t="s">
        <v>68</v>
      </c>
      <c r="D446" s="2" t="s">
        <v>17</v>
      </c>
      <c r="E446" s="2" t="s">
        <v>100</v>
      </c>
      <c r="F446" s="2" t="s">
        <v>40</v>
      </c>
      <c r="G446" s="2" t="s">
        <v>36</v>
      </c>
      <c r="H446" s="2">
        <v>1422.05</v>
      </c>
      <c r="I446" s="2">
        <v>997.86</v>
      </c>
      <c r="J446" s="2">
        <v>424.19</v>
      </c>
      <c r="K446" s="2" t="s">
        <v>21</v>
      </c>
      <c r="L446" s="2"/>
      <c r="M446" s="2">
        <v>3</v>
      </c>
      <c r="N446" s="2" t="s">
        <v>22</v>
      </c>
    </row>
    <row r="447" spans="1:14" x14ac:dyDescent="0.3">
      <c r="A447" s="2" t="s">
        <v>876</v>
      </c>
      <c r="B447" s="2" t="s">
        <v>130</v>
      </c>
      <c r="C447" s="2" t="s">
        <v>54</v>
      </c>
      <c r="D447" s="2" t="s">
        <v>33</v>
      </c>
      <c r="E447" s="2" t="s">
        <v>39</v>
      </c>
      <c r="F447" s="2" t="s">
        <v>27</v>
      </c>
      <c r="G447" s="2" t="s">
        <v>73</v>
      </c>
      <c r="H447" s="2">
        <v>2673.62</v>
      </c>
      <c r="I447" s="2">
        <v>1992.49</v>
      </c>
      <c r="J447" s="2">
        <v>681.13</v>
      </c>
      <c r="K447" s="2" t="s">
        <v>21</v>
      </c>
      <c r="L447" s="2"/>
      <c r="M447" s="2">
        <v>4</v>
      </c>
      <c r="N447" s="2" t="s">
        <v>22</v>
      </c>
    </row>
    <row r="448" spans="1:14" x14ac:dyDescent="0.3">
      <c r="A448" s="2" t="s">
        <v>877</v>
      </c>
      <c r="B448" s="2" t="s">
        <v>673</v>
      </c>
      <c r="C448" s="2" t="s">
        <v>76</v>
      </c>
      <c r="D448" s="2" t="s">
        <v>33</v>
      </c>
      <c r="E448" s="2" t="s">
        <v>297</v>
      </c>
      <c r="F448" s="2" t="s">
        <v>35</v>
      </c>
      <c r="G448" s="2" t="s">
        <v>36</v>
      </c>
      <c r="H448" s="2">
        <v>455.45</v>
      </c>
      <c r="I448" s="2">
        <v>334.81</v>
      </c>
      <c r="J448" s="2">
        <v>120.64</v>
      </c>
      <c r="K448" s="2" t="s">
        <v>21</v>
      </c>
      <c r="L448" s="2"/>
      <c r="M448" s="2">
        <v>4</v>
      </c>
      <c r="N448" s="2" t="s">
        <v>22</v>
      </c>
    </row>
    <row r="449" spans="1:14" x14ac:dyDescent="0.3">
      <c r="A449" s="2" t="s">
        <v>878</v>
      </c>
      <c r="B449" s="2" t="s">
        <v>879</v>
      </c>
      <c r="C449" s="2" t="s">
        <v>25</v>
      </c>
      <c r="D449" s="2" t="s">
        <v>7</v>
      </c>
      <c r="E449" s="2" t="s">
        <v>131</v>
      </c>
      <c r="F449" s="2" t="s">
        <v>84</v>
      </c>
      <c r="G449" s="2" t="s">
        <v>73</v>
      </c>
      <c r="H449" s="2">
        <v>1848.93</v>
      </c>
      <c r="I449" s="2">
        <v>1232.92</v>
      </c>
      <c r="J449" s="2">
        <v>616.01</v>
      </c>
      <c r="K449" s="2" t="s">
        <v>338</v>
      </c>
      <c r="L449" s="2"/>
      <c r="M449" s="2">
        <v>5</v>
      </c>
      <c r="N449" s="2" t="s">
        <v>22</v>
      </c>
    </row>
    <row r="450" spans="1:14" x14ac:dyDescent="0.3">
      <c r="A450" s="2" t="s">
        <v>880</v>
      </c>
      <c r="B450" s="2" t="s">
        <v>437</v>
      </c>
      <c r="C450" s="2" t="s">
        <v>16</v>
      </c>
      <c r="D450" s="2" t="s">
        <v>42</v>
      </c>
      <c r="E450" s="2" t="s">
        <v>162</v>
      </c>
      <c r="F450" s="2" t="s">
        <v>19</v>
      </c>
      <c r="G450" s="2" t="s">
        <v>44</v>
      </c>
      <c r="H450" s="2">
        <v>972.92</v>
      </c>
      <c r="I450" s="2">
        <v>682.92</v>
      </c>
      <c r="J450" s="2">
        <v>290</v>
      </c>
      <c r="K450" s="2" t="s">
        <v>21</v>
      </c>
      <c r="L450" s="2"/>
      <c r="M450" s="2">
        <v>2</v>
      </c>
      <c r="N450" s="2" t="s">
        <v>22</v>
      </c>
    </row>
    <row r="451" spans="1:14" x14ac:dyDescent="0.3">
      <c r="A451" s="2" t="s">
        <v>881</v>
      </c>
      <c r="B451" s="2" t="s">
        <v>882</v>
      </c>
      <c r="C451" s="2" t="s">
        <v>32</v>
      </c>
      <c r="D451" s="2" t="s">
        <v>7</v>
      </c>
      <c r="E451" s="2" t="s">
        <v>65</v>
      </c>
      <c r="F451" s="2" t="s">
        <v>35</v>
      </c>
      <c r="G451" s="2" t="s">
        <v>73</v>
      </c>
      <c r="H451" s="2">
        <v>2103.58</v>
      </c>
      <c r="I451" s="2">
        <v>1413.77</v>
      </c>
      <c r="J451" s="2">
        <v>689.81</v>
      </c>
      <c r="K451" s="2" t="s">
        <v>229</v>
      </c>
      <c r="L451" s="2"/>
      <c r="M451" s="2">
        <v>4</v>
      </c>
      <c r="N451" s="2" t="s">
        <v>22</v>
      </c>
    </row>
    <row r="452" spans="1:14" x14ac:dyDescent="0.3">
      <c r="A452" s="2" t="s">
        <v>883</v>
      </c>
      <c r="B452" s="2" t="s">
        <v>884</v>
      </c>
      <c r="C452" s="2" t="s">
        <v>32</v>
      </c>
      <c r="D452" s="2" t="s">
        <v>59</v>
      </c>
      <c r="E452" s="2" t="s">
        <v>194</v>
      </c>
      <c r="F452" s="2" t="s">
        <v>27</v>
      </c>
      <c r="G452" s="2" t="s">
        <v>44</v>
      </c>
      <c r="H452" s="2">
        <v>754.24</v>
      </c>
      <c r="I452" s="2">
        <v>564.26</v>
      </c>
      <c r="J452" s="2">
        <v>189.98</v>
      </c>
      <c r="K452" s="2" t="s">
        <v>21</v>
      </c>
      <c r="L452" s="2"/>
      <c r="M452" s="2">
        <v>5</v>
      </c>
      <c r="N452" s="2" t="s">
        <v>22</v>
      </c>
    </row>
    <row r="453" spans="1:14" x14ac:dyDescent="0.3">
      <c r="A453" s="2" t="s">
        <v>885</v>
      </c>
      <c r="B453" s="2" t="s">
        <v>285</v>
      </c>
      <c r="C453" s="2" t="s">
        <v>76</v>
      </c>
      <c r="D453" s="2" t="s">
        <v>17</v>
      </c>
      <c r="E453" s="2" t="s">
        <v>469</v>
      </c>
      <c r="F453" s="2" t="s">
        <v>87</v>
      </c>
      <c r="G453" s="2" t="s">
        <v>20</v>
      </c>
      <c r="H453" s="2">
        <v>657.76</v>
      </c>
      <c r="I453" s="2">
        <v>447.73</v>
      </c>
      <c r="J453" s="2">
        <v>210.03</v>
      </c>
      <c r="K453" s="2" t="s">
        <v>56</v>
      </c>
      <c r="L453" s="2">
        <v>6</v>
      </c>
      <c r="M453" s="2">
        <v>2</v>
      </c>
      <c r="N453" s="2" t="s">
        <v>22</v>
      </c>
    </row>
    <row r="454" spans="1:14" x14ac:dyDescent="0.3">
      <c r="A454" s="2" t="s">
        <v>886</v>
      </c>
      <c r="B454" s="2" t="s">
        <v>571</v>
      </c>
      <c r="C454" s="2" t="s">
        <v>179</v>
      </c>
      <c r="D454" s="2" t="s">
        <v>59</v>
      </c>
      <c r="E454" s="2" t="s">
        <v>490</v>
      </c>
      <c r="F454" s="2" t="s">
        <v>19</v>
      </c>
      <c r="G454" s="2" t="s">
        <v>28</v>
      </c>
      <c r="H454" s="2">
        <v>1745.61</v>
      </c>
      <c r="I454" s="2">
        <v>1351.76</v>
      </c>
      <c r="J454" s="2">
        <v>393.85</v>
      </c>
      <c r="K454" s="2" t="s">
        <v>21</v>
      </c>
      <c r="L454" s="2"/>
      <c r="M454" s="2">
        <v>5</v>
      </c>
      <c r="N454" s="2" t="s">
        <v>22</v>
      </c>
    </row>
    <row r="455" spans="1:14" x14ac:dyDescent="0.3">
      <c r="A455" s="2" t="s">
        <v>887</v>
      </c>
      <c r="B455" s="2" t="s">
        <v>888</v>
      </c>
      <c r="C455" s="2" t="s">
        <v>115</v>
      </c>
      <c r="D455" s="2" t="s">
        <v>17</v>
      </c>
      <c r="E455" s="2" t="s">
        <v>18</v>
      </c>
      <c r="F455" s="2" t="s">
        <v>19</v>
      </c>
      <c r="G455" s="2" t="s">
        <v>28</v>
      </c>
      <c r="H455" s="2">
        <v>213.72</v>
      </c>
      <c r="I455" s="2">
        <v>148.34</v>
      </c>
      <c r="J455" s="2">
        <v>65.38</v>
      </c>
      <c r="K455" s="2" t="s">
        <v>21</v>
      </c>
      <c r="L455" s="2"/>
      <c r="M455" s="2">
        <v>5</v>
      </c>
      <c r="N455" s="2" t="s">
        <v>29</v>
      </c>
    </row>
    <row r="456" spans="1:14" x14ac:dyDescent="0.3">
      <c r="A456" s="2" t="s">
        <v>889</v>
      </c>
      <c r="B456" s="2" t="s">
        <v>611</v>
      </c>
      <c r="C456" s="2" t="s">
        <v>76</v>
      </c>
      <c r="D456" s="2" t="s">
        <v>42</v>
      </c>
      <c r="E456" s="2"/>
      <c r="F456" s="2" t="s">
        <v>84</v>
      </c>
      <c r="G456" s="2" t="s">
        <v>36</v>
      </c>
      <c r="H456" s="2">
        <v>1275.97</v>
      </c>
      <c r="I456" s="2">
        <v>1061.04</v>
      </c>
      <c r="J456" s="2">
        <v>214.93</v>
      </c>
      <c r="K456" s="2" t="s">
        <v>21</v>
      </c>
      <c r="L456" s="2"/>
      <c r="M456" s="2">
        <v>3</v>
      </c>
      <c r="N456" s="2" t="s">
        <v>22</v>
      </c>
    </row>
    <row r="457" spans="1:14" x14ac:dyDescent="0.3">
      <c r="A457" s="2" t="s">
        <v>890</v>
      </c>
      <c r="B457" s="2" t="s">
        <v>891</v>
      </c>
      <c r="C457" s="2" t="s">
        <v>111</v>
      </c>
      <c r="D457" s="2" t="s">
        <v>33</v>
      </c>
      <c r="E457" s="2" t="s">
        <v>119</v>
      </c>
      <c r="F457" s="2" t="s">
        <v>19</v>
      </c>
      <c r="G457" s="2" t="s">
        <v>36</v>
      </c>
      <c r="H457" s="2">
        <v>2689.02</v>
      </c>
      <c r="I457" s="2">
        <v>1901.69</v>
      </c>
      <c r="J457" s="2">
        <v>787.33</v>
      </c>
      <c r="K457" s="2" t="s">
        <v>21</v>
      </c>
      <c r="L457" s="2"/>
      <c r="M457" s="2">
        <v>5</v>
      </c>
      <c r="N457" s="2" t="s">
        <v>22</v>
      </c>
    </row>
    <row r="458" spans="1:14" x14ac:dyDescent="0.3">
      <c r="A458" s="2" t="s">
        <v>892</v>
      </c>
      <c r="B458" s="2" t="s">
        <v>374</v>
      </c>
      <c r="C458" s="2" t="s">
        <v>124</v>
      </c>
      <c r="D458" s="2" t="s">
        <v>59</v>
      </c>
      <c r="E458" s="2" t="s">
        <v>308</v>
      </c>
      <c r="F458" s="2" t="s">
        <v>35</v>
      </c>
      <c r="G458" s="2" t="s">
        <v>36</v>
      </c>
      <c r="H458" s="2">
        <v>638.9</v>
      </c>
      <c r="I458" s="2">
        <v>464.98</v>
      </c>
      <c r="J458" s="2">
        <v>173.92</v>
      </c>
      <c r="K458" s="2" t="s">
        <v>56</v>
      </c>
      <c r="L458" s="2">
        <v>7</v>
      </c>
      <c r="M458" s="2">
        <v>2</v>
      </c>
      <c r="N458" s="2" t="s">
        <v>22</v>
      </c>
    </row>
    <row r="459" spans="1:14" x14ac:dyDescent="0.3">
      <c r="A459" s="2" t="s">
        <v>893</v>
      </c>
      <c r="B459" s="2" t="s">
        <v>724</v>
      </c>
      <c r="C459" s="2" t="s">
        <v>104</v>
      </c>
      <c r="D459" s="2" t="s">
        <v>42</v>
      </c>
      <c r="E459" s="2" t="s">
        <v>262</v>
      </c>
      <c r="F459" s="2" t="s">
        <v>19</v>
      </c>
      <c r="G459" s="2" t="s">
        <v>44</v>
      </c>
      <c r="H459" s="2">
        <v>1689.56</v>
      </c>
      <c r="I459" s="2">
        <v>1430.56</v>
      </c>
      <c r="J459" s="2">
        <v>259</v>
      </c>
      <c r="K459" s="2" t="s">
        <v>21</v>
      </c>
      <c r="L459" s="2"/>
      <c r="M459" s="2"/>
      <c r="N459" s="2" t="s">
        <v>22</v>
      </c>
    </row>
    <row r="460" spans="1:14" x14ac:dyDescent="0.3">
      <c r="A460" s="2" t="s">
        <v>894</v>
      </c>
      <c r="B460" s="2" t="s">
        <v>651</v>
      </c>
      <c r="C460" s="2" t="s">
        <v>179</v>
      </c>
      <c r="D460" s="2" t="s">
        <v>17</v>
      </c>
      <c r="E460" s="2" t="s">
        <v>226</v>
      </c>
      <c r="F460" s="2" t="s">
        <v>40</v>
      </c>
      <c r="G460" s="2" t="s">
        <v>20</v>
      </c>
      <c r="H460" s="2">
        <v>582.1</v>
      </c>
      <c r="I460" s="2">
        <v>373.52</v>
      </c>
      <c r="J460" s="2">
        <v>208.58</v>
      </c>
      <c r="K460" s="2" t="s">
        <v>21</v>
      </c>
      <c r="L460" s="2"/>
      <c r="M460" s="2">
        <v>4</v>
      </c>
      <c r="N460" s="2" t="s">
        <v>22</v>
      </c>
    </row>
    <row r="461" spans="1:14" x14ac:dyDescent="0.3">
      <c r="A461" s="2" t="s">
        <v>895</v>
      </c>
      <c r="B461" s="2" t="s">
        <v>896</v>
      </c>
      <c r="C461" s="2" t="s">
        <v>76</v>
      </c>
      <c r="D461" s="2" t="s">
        <v>7</v>
      </c>
      <c r="E461" s="2" t="s">
        <v>182</v>
      </c>
      <c r="F461" s="2" t="s">
        <v>84</v>
      </c>
      <c r="G461" s="2" t="s">
        <v>44</v>
      </c>
      <c r="H461" s="2">
        <v>1244.8900000000001</v>
      </c>
      <c r="I461" s="2">
        <v>901.85</v>
      </c>
      <c r="J461" s="2">
        <v>343.04</v>
      </c>
      <c r="K461" s="2" t="s">
        <v>56</v>
      </c>
      <c r="L461" s="2">
        <v>7</v>
      </c>
      <c r="M461" s="2">
        <v>5</v>
      </c>
      <c r="N461" s="2" t="s">
        <v>22</v>
      </c>
    </row>
    <row r="462" spans="1:14" x14ac:dyDescent="0.3">
      <c r="A462" s="2" t="s">
        <v>897</v>
      </c>
      <c r="B462" s="2" t="s">
        <v>601</v>
      </c>
      <c r="C462" s="2" t="s">
        <v>32</v>
      </c>
      <c r="D462" s="2" t="s">
        <v>59</v>
      </c>
      <c r="E462" s="2" t="s">
        <v>490</v>
      </c>
      <c r="F462" s="2" t="s">
        <v>27</v>
      </c>
      <c r="G462" s="2" t="s">
        <v>36</v>
      </c>
      <c r="H462" s="2">
        <v>2882.34</v>
      </c>
      <c r="I462" s="2">
        <v>2153.8000000000002</v>
      </c>
      <c r="J462" s="2">
        <v>728.54</v>
      </c>
      <c r="K462" s="2" t="s">
        <v>21</v>
      </c>
      <c r="L462" s="2"/>
      <c r="M462" s="2">
        <v>4</v>
      </c>
      <c r="N462" s="2" t="s">
        <v>29</v>
      </c>
    </row>
    <row r="463" spans="1:14" x14ac:dyDescent="0.3">
      <c r="A463" s="2" t="s">
        <v>898</v>
      </c>
      <c r="B463" s="2" t="s">
        <v>899</v>
      </c>
      <c r="C463" s="2" t="s">
        <v>124</v>
      </c>
      <c r="D463" s="2" t="s">
        <v>17</v>
      </c>
      <c r="E463" s="2" t="s">
        <v>96</v>
      </c>
      <c r="F463" s="2" t="s">
        <v>35</v>
      </c>
      <c r="G463" s="2" t="s">
        <v>36</v>
      </c>
      <c r="H463" s="2">
        <v>936.48</v>
      </c>
      <c r="I463" s="2">
        <v>675.3</v>
      </c>
      <c r="J463" s="2">
        <v>261.18</v>
      </c>
      <c r="K463" s="2" t="s">
        <v>21</v>
      </c>
      <c r="L463" s="2"/>
      <c r="M463" s="2">
        <v>4</v>
      </c>
      <c r="N463" s="2" t="s">
        <v>29</v>
      </c>
    </row>
    <row r="464" spans="1:14" x14ac:dyDescent="0.3">
      <c r="A464" s="2" t="s">
        <v>900</v>
      </c>
      <c r="B464" s="2" t="s">
        <v>611</v>
      </c>
      <c r="C464" s="2" t="s">
        <v>76</v>
      </c>
      <c r="D464" s="2" t="s">
        <v>33</v>
      </c>
      <c r="E464" s="2" t="s">
        <v>119</v>
      </c>
      <c r="F464" s="2" t="s">
        <v>84</v>
      </c>
      <c r="G464" s="2" t="s">
        <v>44</v>
      </c>
      <c r="H464" s="2">
        <v>624.08000000000004</v>
      </c>
      <c r="I464" s="2">
        <v>424.88</v>
      </c>
      <c r="J464" s="2">
        <v>199.2</v>
      </c>
      <c r="K464" s="2" t="s">
        <v>21</v>
      </c>
      <c r="L464" s="2"/>
      <c r="M464" s="2">
        <v>4</v>
      </c>
      <c r="N464" s="2" t="s">
        <v>22</v>
      </c>
    </row>
    <row r="465" spans="1:14" x14ac:dyDescent="0.3">
      <c r="A465" s="2" t="s">
        <v>901</v>
      </c>
      <c r="B465" s="2" t="s">
        <v>871</v>
      </c>
      <c r="C465" s="2" t="s">
        <v>111</v>
      </c>
      <c r="D465" s="2" t="s">
        <v>7</v>
      </c>
      <c r="E465" s="2" t="s">
        <v>185</v>
      </c>
      <c r="F465" s="2" t="s">
        <v>84</v>
      </c>
      <c r="G465" s="2" t="s">
        <v>28</v>
      </c>
      <c r="H465" s="2">
        <v>3432.32</v>
      </c>
      <c r="I465" s="2">
        <v>2026.43</v>
      </c>
      <c r="J465" s="2">
        <v>1405.89</v>
      </c>
      <c r="K465" s="2" t="s">
        <v>21</v>
      </c>
      <c r="L465" s="2"/>
      <c r="M465" s="2">
        <v>1</v>
      </c>
      <c r="N465" s="2" t="s">
        <v>29</v>
      </c>
    </row>
    <row r="466" spans="1:14" x14ac:dyDescent="0.3">
      <c r="A466" s="2" t="s">
        <v>902</v>
      </c>
      <c r="B466" s="2" t="s">
        <v>82</v>
      </c>
      <c r="C466" s="2" t="s">
        <v>54</v>
      </c>
      <c r="D466" s="2" t="s">
        <v>42</v>
      </c>
      <c r="E466" s="2" t="s">
        <v>162</v>
      </c>
      <c r="F466" s="2" t="s">
        <v>40</v>
      </c>
      <c r="G466" s="2" t="s">
        <v>73</v>
      </c>
      <c r="H466" s="2">
        <v>3174.3</v>
      </c>
      <c r="I466" s="2">
        <v>2720.84</v>
      </c>
      <c r="J466" s="2">
        <v>453.46</v>
      </c>
      <c r="K466" s="2" t="s">
        <v>56</v>
      </c>
      <c r="L466" s="2">
        <v>6</v>
      </c>
      <c r="M466" s="2">
        <v>5</v>
      </c>
      <c r="N466" s="2" t="s">
        <v>22</v>
      </c>
    </row>
    <row r="467" spans="1:14" x14ac:dyDescent="0.3">
      <c r="A467" s="2" t="s">
        <v>903</v>
      </c>
      <c r="B467" s="2" t="s">
        <v>904</v>
      </c>
      <c r="C467" s="2" t="s">
        <v>111</v>
      </c>
      <c r="D467" s="2" t="s">
        <v>59</v>
      </c>
      <c r="E467" s="2" t="s">
        <v>116</v>
      </c>
      <c r="F467" s="2" t="s">
        <v>40</v>
      </c>
      <c r="G467" s="2" t="s">
        <v>36</v>
      </c>
      <c r="H467" s="2">
        <v>1142.19</v>
      </c>
      <c r="I467" s="2">
        <v>815.52</v>
      </c>
      <c r="J467" s="2">
        <v>326.67</v>
      </c>
      <c r="K467" s="2" t="s">
        <v>90</v>
      </c>
      <c r="L467" s="2">
        <v>8</v>
      </c>
      <c r="M467" s="2">
        <v>3</v>
      </c>
      <c r="N467" s="2" t="s">
        <v>29</v>
      </c>
    </row>
    <row r="468" spans="1:14" x14ac:dyDescent="0.3">
      <c r="A468" s="2" t="s">
        <v>905</v>
      </c>
      <c r="B468" s="2" t="s">
        <v>130</v>
      </c>
      <c r="C468" s="2" t="s">
        <v>54</v>
      </c>
      <c r="D468" s="2" t="s">
        <v>42</v>
      </c>
      <c r="E468" s="2" t="s">
        <v>214</v>
      </c>
      <c r="F468" s="2" t="s">
        <v>19</v>
      </c>
      <c r="G468" s="2" t="s">
        <v>36</v>
      </c>
      <c r="H468" s="2">
        <v>2054.44</v>
      </c>
      <c r="I468" s="2">
        <v>1729.49</v>
      </c>
      <c r="J468" s="2">
        <v>324.95</v>
      </c>
      <c r="K468" s="2" t="s">
        <v>21</v>
      </c>
      <c r="L468" s="2"/>
      <c r="M468" s="2">
        <v>5</v>
      </c>
      <c r="N468" s="2" t="s">
        <v>29</v>
      </c>
    </row>
    <row r="469" spans="1:14" x14ac:dyDescent="0.3">
      <c r="A469" s="2" t="s">
        <v>906</v>
      </c>
      <c r="B469" s="2" t="s">
        <v>907</v>
      </c>
      <c r="C469" s="2" t="s">
        <v>25</v>
      </c>
      <c r="D469" s="2" t="s">
        <v>17</v>
      </c>
      <c r="E469" s="2" t="s">
        <v>226</v>
      </c>
      <c r="F469" s="2" t="s">
        <v>40</v>
      </c>
      <c r="G469" s="2" t="s">
        <v>28</v>
      </c>
      <c r="H469" s="2">
        <v>2936.11</v>
      </c>
      <c r="I469" s="2">
        <v>1659.11</v>
      </c>
      <c r="J469" s="2">
        <v>1277</v>
      </c>
      <c r="K469" s="2" t="s">
        <v>56</v>
      </c>
      <c r="L469" s="2">
        <v>1</v>
      </c>
      <c r="M469" s="2">
        <v>5</v>
      </c>
      <c r="N469" s="2" t="s">
        <v>22</v>
      </c>
    </row>
    <row r="470" spans="1:14" x14ac:dyDescent="0.3">
      <c r="A470" s="2" t="s">
        <v>908</v>
      </c>
      <c r="B470" s="2" t="s">
        <v>909</v>
      </c>
      <c r="C470" s="2" t="s">
        <v>25</v>
      </c>
      <c r="D470" s="2" t="s">
        <v>33</v>
      </c>
      <c r="E470" s="2" t="s">
        <v>297</v>
      </c>
      <c r="F470" s="2" t="s">
        <v>87</v>
      </c>
      <c r="G470" s="2" t="s">
        <v>36</v>
      </c>
      <c r="H470" s="2">
        <v>1101.45</v>
      </c>
      <c r="I470" s="2">
        <v>823.11</v>
      </c>
      <c r="J470" s="2">
        <v>278.33999999999997</v>
      </c>
      <c r="K470" s="2" t="s">
        <v>56</v>
      </c>
      <c r="L470" s="2">
        <v>1</v>
      </c>
      <c r="M470" s="2">
        <v>1</v>
      </c>
      <c r="N470" s="2" t="s">
        <v>22</v>
      </c>
    </row>
    <row r="471" spans="1:14" x14ac:dyDescent="0.3">
      <c r="A471" s="2" t="s">
        <v>910</v>
      </c>
      <c r="B471" s="2" t="s">
        <v>644</v>
      </c>
      <c r="C471" s="2" t="s">
        <v>64</v>
      </c>
      <c r="D471" s="2" t="s">
        <v>17</v>
      </c>
      <c r="E471" s="2" t="s">
        <v>96</v>
      </c>
      <c r="F471" s="2" t="s">
        <v>87</v>
      </c>
      <c r="G471" s="2" t="s">
        <v>44</v>
      </c>
      <c r="H471" s="2">
        <v>2030.2</v>
      </c>
      <c r="I471" s="2">
        <v>1426.04</v>
      </c>
      <c r="J471" s="2">
        <v>604.16</v>
      </c>
      <c r="K471" s="2" t="s">
        <v>21</v>
      </c>
      <c r="L471" s="2"/>
      <c r="M471" s="2">
        <v>4</v>
      </c>
      <c r="N471" s="2" t="s">
        <v>22</v>
      </c>
    </row>
    <row r="472" spans="1:14" x14ac:dyDescent="0.3">
      <c r="A472" s="2" t="s">
        <v>911</v>
      </c>
      <c r="B472" s="2" t="s">
        <v>912</v>
      </c>
      <c r="C472" s="2" t="s">
        <v>115</v>
      </c>
      <c r="D472" s="2" t="s">
        <v>17</v>
      </c>
      <c r="E472" s="2" t="s">
        <v>96</v>
      </c>
      <c r="F472" s="2" t="s">
        <v>19</v>
      </c>
      <c r="G472" s="2" t="s">
        <v>36</v>
      </c>
      <c r="H472" s="2">
        <v>526.59</v>
      </c>
      <c r="I472" s="2">
        <v>411.55</v>
      </c>
      <c r="J472" s="2">
        <v>115.04</v>
      </c>
      <c r="K472" s="2" t="s">
        <v>21</v>
      </c>
      <c r="L472" s="2"/>
      <c r="M472" s="2">
        <v>5</v>
      </c>
      <c r="N472" s="2" t="s">
        <v>22</v>
      </c>
    </row>
    <row r="473" spans="1:14" x14ac:dyDescent="0.3">
      <c r="A473" s="2" t="s">
        <v>913</v>
      </c>
      <c r="B473" s="2" t="s">
        <v>914</v>
      </c>
      <c r="C473" s="2" t="s">
        <v>111</v>
      </c>
      <c r="D473" s="2" t="s">
        <v>42</v>
      </c>
      <c r="E473" s="2" t="s">
        <v>80</v>
      </c>
      <c r="F473" s="2" t="s">
        <v>40</v>
      </c>
      <c r="G473" s="2" t="s">
        <v>44</v>
      </c>
      <c r="H473" s="2">
        <v>1907.67</v>
      </c>
      <c r="I473" s="2">
        <v>1457.37</v>
      </c>
      <c r="J473" s="2">
        <v>450.3</v>
      </c>
      <c r="K473" s="2" t="s">
        <v>56</v>
      </c>
      <c r="L473" s="2">
        <v>8</v>
      </c>
      <c r="M473" s="2">
        <v>5</v>
      </c>
      <c r="N473" s="2" t="s">
        <v>22</v>
      </c>
    </row>
    <row r="474" spans="1:14" x14ac:dyDescent="0.3">
      <c r="A474" s="2" t="s">
        <v>915</v>
      </c>
      <c r="B474" s="2" t="s">
        <v>916</v>
      </c>
      <c r="C474" s="2" t="s">
        <v>25</v>
      </c>
      <c r="D474" s="2" t="s">
        <v>17</v>
      </c>
      <c r="E474" s="2" t="s">
        <v>100</v>
      </c>
      <c r="F474" s="2"/>
      <c r="G474" s="2" t="s">
        <v>44</v>
      </c>
      <c r="H474" s="2">
        <v>2311.12</v>
      </c>
      <c r="I474" s="2">
        <v>1787.2</v>
      </c>
      <c r="J474" s="2">
        <v>523.91999999999996</v>
      </c>
      <c r="K474" s="2" t="s">
        <v>56</v>
      </c>
      <c r="L474" s="2">
        <v>3</v>
      </c>
      <c r="M474" s="2">
        <v>2</v>
      </c>
      <c r="N474" s="2" t="s">
        <v>22</v>
      </c>
    </row>
    <row r="475" spans="1:14" x14ac:dyDescent="0.3">
      <c r="A475" s="2" t="s">
        <v>917</v>
      </c>
      <c r="B475" s="2" t="s">
        <v>731</v>
      </c>
      <c r="C475" s="2" t="s">
        <v>16</v>
      </c>
      <c r="D475" s="2" t="s">
        <v>42</v>
      </c>
      <c r="E475" s="2" t="s">
        <v>214</v>
      </c>
      <c r="F475" s="2" t="s">
        <v>84</v>
      </c>
      <c r="G475" s="2" t="s">
        <v>36</v>
      </c>
      <c r="H475" s="2">
        <v>3343.32</v>
      </c>
      <c r="I475" s="2">
        <v>2596.6999999999998</v>
      </c>
      <c r="J475" s="2">
        <v>746.62</v>
      </c>
      <c r="K475" s="2" t="s">
        <v>21</v>
      </c>
      <c r="L475" s="2"/>
      <c r="M475" s="2">
        <v>4</v>
      </c>
      <c r="N475" s="2" t="s">
        <v>22</v>
      </c>
    </row>
    <row r="476" spans="1:14" x14ac:dyDescent="0.3">
      <c r="A476" s="2" t="s">
        <v>918</v>
      </c>
      <c r="B476" s="2" t="s">
        <v>166</v>
      </c>
      <c r="C476" s="2" t="s">
        <v>68</v>
      </c>
      <c r="D476" s="2" t="s">
        <v>7</v>
      </c>
      <c r="E476" s="2" t="s">
        <v>185</v>
      </c>
      <c r="F476" s="2" t="s">
        <v>27</v>
      </c>
      <c r="G476" s="2" t="s">
        <v>44</v>
      </c>
      <c r="H476" s="2">
        <v>2564.81</v>
      </c>
      <c r="I476" s="2">
        <v>1548.52</v>
      </c>
      <c r="J476" s="2">
        <v>1016.29</v>
      </c>
      <c r="K476" s="2" t="s">
        <v>21</v>
      </c>
      <c r="L476" s="2"/>
      <c r="M476" s="2">
        <v>5</v>
      </c>
      <c r="N476" s="2" t="s">
        <v>22</v>
      </c>
    </row>
    <row r="477" spans="1:14" x14ac:dyDescent="0.3">
      <c r="A477" s="2" t="s">
        <v>919</v>
      </c>
      <c r="B477" s="2" t="s">
        <v>71</v>
      </c>
      <c r="C477" s="2" t="s">
        <v>32</v>
      </c>
      <c r="D477" s="2" t="s">
        <v>17</v>
      </c>
      <c r="E477" s="2" t="s">
        <v>96</v>
      </c>
      <c r="F477" s="2" t="s">
        <v>87</v>
      </c>
      <c r="G477" s="2" t="s">
        <v>36</v>
      </c>
      <c r="H477" s="2">
        <v>1300.5</v>
      </c>
      <c r="I477" s="2">
        <v>1011.99</v>
      </c>
      <c r="J477" s="2">
        <v>288.51</v>
      </c>
      <c r="K477" s="2" t="s">
        <v>56</v>
      </c>
      <c r="L477" s="2">
        <v>5</v>
      </c>
      <c r="M477" s="2">
        <v>4</v>
      </c>
      <c r="N477" s="2" t="s">
        <v>29</v>
      </c>
    </row>
    <row r="478" spans="1:14" x14ac:dyDescent="0.3">
      <c r="A478" s="2" t="s">
        <v>920</v>
      </c>
      <c r="B478" s="2" t="s">
        <v>921</v>
      </c>
      <c r="C478" s="2" t="s">
        <v>111</v>
      </c>
      <c r="D478" s="2" t="s">
        <v>17</v>
      </c>
      <c r="E478" s="2" t="s">
        <v>100</v>
      </c>
      <c r="F478" s="2" t="s">
        <v>35</v>
      </c>
      <c r="G478" s="2" t="s">
        <v>73</v>
      </c>
      <c r="H478" s="2">
        <v>2861.57</v>
      </c>
      <c r="I478" s="2">
        <v>1574.38</v>
      </c>
      <c r="J478" s="2">
        <v>1287.19</v>
      </c>
      <c r="K478" s="2" t="s">
        <v>21</v>
      </c>
      <c r="L478" s="2"/>
      <c r="M478" s="2">
        <v>3</v>
      </c>
      <c r="N478" s="2" t="s">
        <v>22</v>
      </c>
    </row>
    <row r="479" spans="1:14" x14ac:dyDescent="0.3">
      <c r="A479" s="2" t="s">
        <v>922</v>
      </c>
      <c r="B479" s="2" t="s">
        <v>166</v>
      </c>
      <c r="C479" s="2" t="s">
        <v>68</v>
      </c>
      <c r="D479" s="2" t="s">
        <v>42</v>
      </c>
      <c r="E479" s="2" t="s">
        <v>80</v>
      </c>
      <c r="F479" s="2" t="s">
        <v>35</v>
      </c>
      <c r="G479" s="2" t="s">
        <v>28</v>
      </c>
      <c r="H479" s="2">
        <v>666.34</v>
      </c>
      <c r="I479" s="2">
        <v>507.94</v>
      </c>
      <c r="J479" s="2">
        <v>158.4</v>
      </c>
      <c r="K479" s="2" t="s">
        <v>21</v>
      </c>
      <c r="L479" s="2"/>
      <c r="M479" s="2">
        <v>4</v>
      </c>
      <c r="N479" s="2" t="s">
        <v>29</v>
      </c>
    </row>
    <row r="480" spans="1:14" x14ac:dyDescent="0.3">
      <c r="A480" s="2" t="s">
        <v>923</v>
      </c>
      <c r="B480" s="2" t="s">
        <v>751</v>
      </c>
      <c r="C480" s="2" t="s">
        <v>104</v>
      </c>
      <c r="D480" s="2" t="s">
        <v>17</v>
      </c>
      <c r="E480" s="2" t="s">
        <v>469</v>
      </c>
      <c r="F480" s="2" t="s">
        <v>27</v>
      </c>
      <c r="G480" s="2" t="s">
        <v>44</v>
      </c>
      <c r="H480" s="2">
        <v>783.35</v>
      </c>
      <c r="I480" s="2">
        <v>435.16</v>
      </c>
      <c r="J480" s="2">
        <v>348.19</v>
      </c>
      <c r="K480" s="2" t="s">
        <v>21</v>
      </c>
      <c r="L480" s="2"/>
      <c r="M480" s="2">
        <v>4</v>
      </c>
      <c r="N480" s="2" t="s">
        <v>22</v>
      </c>
    </row>
    <row r="481" spans="1:14" x14ac:dyDescent="0.3">
      <c r="A481" s="2" t="s">
        <v>924</v>
      </c>
      <c r="B481" s="2" t="s">
        <v>925</v>
      </c>
      <c r="C481" s="2" t="s">
        <v>76</v>
      </c>
      <c r="D481" s="2" t="s">
        <v>33</v>
      </c>
      <c r="E481" s="2" t="s">
        <v>39</v>
      </c>
      <c r="F481" s="2" t="s">
        <v>27</v>
      </c>
      <c r="G481" s="2" t="s">
        <v>20</v>
      </c>
      <c r="H481" s="2">
        <v>2008.96</v>
      </c>
      <c r="I481" s="2">
        <v>1350.85</v>
      </c>
      <c r="J481" s="2">
        <v>658.11</v>
      </c>
      <c r="K481" s="2" t="s">
        <v>21</v>
      </c>
      <c r="L481" s="2"/>
      <c r="M481" s="2">
        <v>5</v>
      </c>
      <c r="N481" s="2" t="s">
        <v>22</v>
      </c>
    </row>
    <row r="482" spans="1:14" x14ac:dyDescent="0.3">
      <c r="A482" s="2" t="s">
        <v>926</v>
      </c>
      <c r="B482" s="2" t="s">
        <v>927</v>
      </c>
      <c r="C482" s="2" t="s">
        <v>68</v>
      </c>
      <c r="D482" s="2" t="s">
        <v>59</v>
      </c>
      <c r="E482" s="2" t="s">
        <v>194</v>
      </c>
      <c r="F482" s="2" t="s">
        <v>928</v>
      </c>
      <c r="G482" s="2" t="s">
        <v>20</v>
      </c>
      <c r="H482" s="2">
        <v>861.53</v>
      </c>
      <c r="I482" s="2">
        <v>688.79</v>
      </c>
      <c r="J482" s="2">
        <v>172.74</v>
      </c>
      <c r="K482" s="2" t="s">
        <v>21</v>
      </c>
      <c r="L482" s="2"/>
      <c r="M482" s="2">
        <v>4</v>
      </c>
      <c r="N482" s="2" t="s">
        <v>29</v>
      </c>
    </row>
    <row r="483" spans="1:14" x14ac:dyDescent="0.3">
      <c r="A483" s="2" t="s">
        <v>929</v>
      </c>
      <c r="B483" s="2" t="s">
        <v>930</v>
      </c>
      <c r="C483" s="2" t="s">
        <v>111</v>
      </c>
      <c r="D483" s="2" t="s">
        <v>33</v>
      </c>
      <c r="E483" s="2" t="s">
        <v>39</v>
      </c>
      <c r="F483" s="2" t="s">
        <v>84</v>
      </c>
      <c r="G483" s="2" t="s">
        <v>36</v>
      </c>
      <c r="H483" s="2">
        <v>2255.63</v>
      </c>
      <c r="I483" s="2">
        <v>1387.59</v>
      </c>
      <c r="J483" s="2">
        <v>868.04</v>
      </c>
      <c r="K483" s="2" t="s">
        <v>21</v>
      </c>
      <c r="L483" s="2"/>
      <c r="M483" s="2">
        <v>4</v>
      </c>
      <c r="N483" s="2" t="s">
        <v>22</v>
      </c>
    </row>
    <row r="484" spans="1:14" x14ac:dyDescent="0.3">
      <c r="A484" s="2" t="s">
        <v>931</v>
      </c>
      <c r="B484" s="2" t="s">
        <v>581</v>
      </c>
      <c r="C484" s="2" t="s">
        <v>124</v>
      </c>
      <c r="D484" s="2" t="s">
        <v>17</v>
      </c>
      <c r="E484" s="2" t="s">
        <v>18</v>
      </c>
      <c r="F484" s="2"/>
      <c r="G484" s="2" t="s">
        <v>28</v>
      </c>
      <c r="H484" s="2">
        <v>2046.73</v>
      </c>
      <c r="I484" s="2">
        <v>1362.61</v>
      </c>
      <c r="J484" s="2">
        <v>684.12</v>
      </c>
      <c r="K484" s="2" t="s">
        <v>21</v>
      </c>
      <c r="L484" s="2"/>
      <c r="M484" s="2">
        <v>3</v>
      </c>
      <c r="N484" s="2" t="s">
        <v>22</v>
      </c>
    </row>
    <row r="485" spans="1:14" x14ac:dyDescent="0.3">
      <c r="A485" s="2" t="s">
        <v>932</v>
      </c>
      <c r="B485" s="2" t="s">
        <v>933</v>
      </c>
      <c r="C485" s="2" t="s">
        <v>68</v>
      </c>
      <c r="D485" s="2" t="s">
        <v>42</v>
      </c>
      <c r="E485" s="2" t="s">
        <v>162</v>
      </c>
      <c r="F485" s="2" t="s">
        <v>40</v>
      </c>
      <c r="G485" s="2" t="s">
        <v>36</v>
      </c>
      <c r="H485" s="2">
        <v>2263.41</v>
      </c>
      <c r="I485" s="2">
        <v>2002.65</v>
      </c>
      <c r="J485" s="2">
        <v>260.76</v>
      </c>
      <c r="K485" s="2" t="s">
        <v>56</v>
      </c>
      <c r="L485" s="2">
        <v>6</v>
      </c>
      <c r="M485" s="2">
        <v>1</v>
      </c>
      <c r="N485" s="2" t="s">
        <v>22</v>
      </c>
    </row>
    <row r="486" spans="1:14" x14ac:dyDescent="0.3">
      <c r="A486" s="2" t="s">
        <v>934</v>
      </c>
      <c r="B486" s="2" t="s">
        <v>727</v>
      </c>
      <c r="C486" s="2" t="s">
        <v>68</v>
      </c>
      <c r="D486" s="2" t="s">
        <v>59</v>
      </c>
      <c r="E486" s="2" t="s">
        <v>108</v>
      </c>
      <c r="F486" s="2" t="s">
        <v>84</v>
      </c>
      <c r="G486" s="2" t="s">
        <v>36</v>
      </c>
      <c r="H486" s="2">
        <v>972.94</v>
      </c>
      <c r="I486" s="2">
        <v>731.95</v>
      </c>
      <c r="J486" s="2">
        <v>240.99</v>
      </c>
      <c r="K486" s="2" t="s">
        <v>21</v>
      </c>
      <c r="L486" s="2"/>
      <c r="M486" s="2">
        <v>5</v>
      </c>
      <c r="N486" s="2" t="s">
        <v>22</v>
      </c>
    </row>
    <row r="487" spans="1:14" x14ac:dyDescent="0.3">
      <c r="A487" s="2" t="s">
        <v>935</v>
      </c>
      <c r="B487" s="2" t="s">
        <v>936</v>
      </c>
      <c r="C487" s="2" t="s">
        <v>76</v>
      </c>
      <c r="D487" s="2" t="s">
        <v>42</v>
      </c>
      <c r="E487" s="2" t="s">
        <v>262</v>
      </c>
      <c r="F487" s="2" t="s">
        <v>27</v>
      </c>
      <c r="G487" s="2" t="s">
        <v>36</v>
      </c>
      <c r="H487" s="2">
        <v>1458.51</v>
      </c>
      <c r="I487" s="2">
        <v>1252.42</v>
      </c>
      <c r="J487" s="2">
        <v>206.09</v>
      </c>
      <c r="K487" s="2" t="s">
        <v>21</v>
      </c>
      <c r="L487" s="2"/>
      <c r="M487" s="2">
        <v>4</v>
      </c>
      <c r="N487" s="2" t="s">
        <v>22</v>
      </c>
    </row>
    <row r="488" spans="1:14" x14ac:dyDescent="0.3">
      <c r="A488" s="2" t="s">
        <v>937</v>
      </c>
      <c r="B488" s="2" t="s">
        <v>938</v>
      </c>
      <c r="C488" s="2" t="s">
        <v>111</v>
      </c>
      <c r="D488" s="2" t="s">
        <v>42</v>
      </c>
      <c r="E488" s="2" t="s">
        <v>162</v>
      </c>
      <c r="F488" s="2" t="s">
        <v>84</v>
      </c>
      <c r="G488" s="2" t="s">
        <v>44</v>
      </c>
      <c r="H488" s="2">
        <v>1399.99</v>
      </c>
      <c r="I488" s="2">
        <v>1272.43</v>
      </c>
      <c r="J488" s="2">
        <v>127.56</v>
      </c>
      <c r="K488" s="2" t="s">
        <v>90</v>
      </c>
      <c r="L488" s="2">
        <v>13</v>
      </c>
      <c r="M488" s="2">
        <v>3</v>
      </c>
      <c r="N488" s="2" t="s">
        <v>29</v>
      </c>
    </row>
    <row r="489" spans="1:14" x14ac:dyDescent="0.3">
      <c r="A489" s="2" t="s">
        <v>939</v>
      </c>
      <c r="B489" s="2" t="s">
        <v>940</v>
      </c>
      <c r="C489" s="2" t="s">
        <v>25</v>
      </c>
      <c r="D489" s="2" t="s">
        <v>7</v>
      </c>
      <c r="E489" s="2" t="s">
        <v>65</v>
      </c>
      <c r="F489" s="2" t="s">
        <v>40</v>
      </c>
      <c r="G489" s="2" t="s">
        <v>28</v>
      </c>
      <c r="H489" s="2">
        <v>2300.4899999999998</v>
      </c>
      <c r="I489" s="2">
        <v>1365.29</v>
      </c>
      <c r="J489" s="2">
        <v>935.2</v>
      </c>
      <c r="K489" s="2" t="s">
        <v>21</v>
      </c>
      <c r="L489" s="2"/>
      <c r="M489" s="2">
        <v>5</v>
      </c>
      <c r="N489" s="2" t="s">
        <v>22</v>
      </c>
    </row>
    <row r="490" spans="1:14" x14ac:dyDescent="0.3">
      <c r="A490" s="2" t="s">
        <v>941</v>
      </c>
      <c r="B490" s="2" t="s">
        <v>812</v>
      </c>
      <c r="C490" s="2" t="s">
        <v>124</v>
      </c>
      <c r="D490" s="2" t="s">
        <v>17</v>
      </c>
      <c r="E490" s="2" t="s">
        <v>226</v>
      </c>
      <c r="F490" s="2" t="s">
        <v>87</v>
      </c>
      <c r="G490" s="2" t="s">
        <v>36</v>
      </c>
      <c r="H490" s="2">
        <v>3310.76</v>
      </c>
      <c r="I490" s="2">
        <v>1827.94</v>
      </c>
      <c r="J490" s="2">
        <v>1482.82</v>
      </c>
      <c r="K490" s="2" t="s">
        <v>21</v>
      </c>
      <c r="L490" s="2"/>
      <c r="M490" s="2">
        <v>4</v>
      </c>
      <c r="N490" s="2" t="s">
        <v>22</v>
      </c>
    </row>
    <row r="491" spans="1:14" x14ac:dyDescent="0.3">
      <c r="A491" s="2" t="s">
        <v>942</v>
      </c>
      <c r="B491" s="2" t="s">
        <v>943</v>
      </c>
      <c r="C491" s="2" t="s">
        <v>76</v>
      </c>
      <c r="D491" s="2" t="s">
        <v>17</v>
      </c>
      <c r="E491" s="2" t="s">
        <v>72</v>
      </c>
      <c r="F491" s="2" t="s">
        <v>84</v>
      </c>
      <c r="G491" s="2" t="s">
        <v>28</v>
      </c>
      <c r="H491" s="2">
        <v>3132.19</v>
      </c>
      <c r="I491" s="2">
        <v>2439.38</v>
      </c>
      <c r="J491" s="2">
        <v>692.81</v>
      </c>
      <c r="K491" s="2" t="s">
        <v>21</v>
      </c>
      <c r="L491" s="2"/>
      <c r="M491" s="2">
        <v>5</v>
      </c>
      <c r="N491" s="2" t="s">
        <v>22</v>
      </c>
    </row>
    <row r="492" spans="1:14" x14ac:dyDescent="0.3">
      <c r="A492" s="2" t="s">
        <v>944</v>
      </c>
      <c r="B492" s="2" t="s">
        <v>479</v>
      </c>
      <c r="C492" s="2" t="s">
        <v>32</v>
      </c>
      <c r="D492" s="2" t="s">
        <v>7</v>
      </c>
      <c r="E492" s="2"/>
      <c r="F492" s="2" t="s">
        <v>27</v>
      </c>
      <c r="G492" s="2" t="s">
        <v>20</v>
      </c>
      <c r="H492" s="2">
        <v>1534.38</v>
      </c>
      <c r="I492" s="2">
        <v>915.86</v>
      </c>
      <c r="J492" s="2">
        <v>618.52</v>
      </c>
      <c r="K492" s="2" t="s">
        <v>21</v>
      </c>
      <c r="L492" s="2"/>
      <c r="M492" s="2">
        <v>4</v>
      </c>
      <c r="N492" s="2" t="s">
        <v>29</v>
      </c>
    </row>
    <row r="493" spans="1:14" x14ac:dyDescent="0.3">
      <c r="A493" s="2" t="s">
        <v>945</v>
      </c>
      <c r="B493" s="2" t="s">
        <v>709</v>
      </c>
      <c r="C493" s="2" t="s">
        <v>111</v>
      </c>
      <c r="D493" s="2" t="s">
        <v>42</v>
      </c>
      <c r="E493" s="2" t="s">
        <v>214</v>
      </c>
      <c r="F493" s="2" t="s">
        <v>27</v>
      </c>
      <c r="G493" s="2" t="s">
        <v>20</v>
      </c>
      <c r="H493" s="2">
        <v>1161.25</v>
      </c>
      <c r="I493" s="2">
        <v>1036.27</v>
      </c>
      <c r="J493" s="2">
        <v>124.98</v>
      </c>
      <c r="K493" s="2" t="s">
        <v>56</v>
      </c>
      <c r="L493" s="2">
        <v>6</v>
      </c>
      <c r="M493" s="2">
        <v>3</v>
      </c>
      <c r="N493" s="2" t="s">
        <v>22</v>
      </c>
    </row>
    <row r="494" spans="1:14" x14ac:dyDescent="0.3">
      <c r="A494" s="2" t="s">
        <v>946</v>
      </c>
      <c r="B494" s="2" t="s">
        <v>656</v>
      </c>
      <c r="C494" s="2" t="s">
        <v>25</v>
      </c>
      <c r="D494" s="2" t="s">
        <v>7</v>
      </c>
      <c r="E494" s="2" t="s">
        <v>134</v>
      </c>
      <c r="F494" s="2" t="s">
        <v>87</v>
      </c>
      <c r="G494" s="2" t="s">
        <v>20</v>
      </c>
      <c r="H494" s="2">
        <v>712.76</v>
      </c>
      <c r="I494" s="2">
        <v>494.28</v>
      </c>
      <c r="J494" s="2">
        <v>218.48</v>
      </c>
      <c r="K494" s="2" t="s">
        <v>21</v>
      </c>
      <c r="L494" s="2"/>
      <c r="M494" s="2">
        <v>4</v>
      </c>
      <c r="N494" s="2" t="s">
        <v>22</v>
      </c>
    </row>
    <row r="495" spans="1:14" x14ac:dyDescent="0.3">
      <c r="A495" s="2" t="s">
        <v>947</v>
      </c>
      <c r="B495" s="2" t="s">
        <v>948</v>
      </c>
      <c r="C495" s="2" t="s">
        <v>115</v>
      </c>
      <c r="D495" s="2" t="s">
        <v>7</v>
      </c>
      <c r="E495" s="2" t="s">
        <v>69</v>
      </c>
      <c r="F495" s="2" t="s">
        <v>87</v>
      </c>
      <c r="G495" s="2" t="s">
        <v>44</v>
      </c>
      <c r="H495" s="2">
        <v>825.74</v>
      </c>
      <c r="I495" s="2">
        <v>484.67</v>
      </c>
      <c r="J495" s="2">
        <v>341.07</v>
      </c>
      <c r="K495" s="2" t="s">
        <v>21</v>
      </c>
      <c r="L495" s="2"/>
      <c r="M495" s="2">
        <v>5</v>
      </c>
      <c r="N495" s="2" t="s">
        <v>22</v>
      </c>
    </row>
    <row r="496" spans="1:14" x14ac:dyDescent="0.3">
      <c r="A496" s="2" t="s">
        <v>949</v>
      </c>
      <c r="B496" s="2" t="s">
        <v>842</v>
      </c>
      <c r="C496" s="2" t="s">
        <v>54</v>
      </c>
      <c r="D496" s="2" t="s">
        <v>7</v>
      </c>
      <c r="E496" s="2" t="s">
        <v>65</v>
      </c>
      <c r="F496" s="2" t="s">
        <v>84</v>
      </c>
      <c r="G496" s="2" t="s">
        <v>44</v>
      </c>
      <c r="H496" s="2">
        <v>2128.3000000000002</v>
      </c>
      <c r="I496" s="2">
        <v>1297.5</v>
      </c>
      <c r="J496" s="2">
        <v>830.8</v>
      </c>
      <c r="K496" s="2" t="s">
        <v>21</v>
      </c>
      <c r="L496" s="2"/>
      <c r="M496" s="2">
        <v>4</v>
      </c>
      <c r="N496" s="2" t="s">
        <v>22</v>
      </c>
    </row>
    <row r="497" spans="1:14" x14ac:dyDescent="0.3">
      <c r="A497" s="2" t="s">
        <v>950</v>
      </c>
      <c r="B497" s="2" t="s">
        <v>310</v>
      </c>
      <c r="C497" s="2" t="s">
        <v>124</v>
      </c>
      <c r="D497" s="2" t="s">
        <v>42</v>
      </c>
      <c r="E497" s="2" t="s">
        <v>214</v>
      </c>
      <c r="F497" s="2" t="s">
        <v>40</v>
      </c>
      <c r="G497" s="2" t="s">
        <v>299</v>
      </c>
      <c r="H497" s="2">
        <v>1863.81</v>
      </c>
      <c r="I497" s="2">
        <v>1557.95</v>
      </c>
      <c r="J497" s="2">
        <v>305.86</v>
      </c>
      <c r="K497" s="2" t="s">
        <v>56</v>
      </c>
      <c r="L497" s="2">
        <v>10</v>
      </c>
      <c r="M497" s="2">
        <v>1</v>
      </c>
      <c r="N497" s="2" t="s">
        <v>29</v>
      </c>
    </row>
    <row r="498" spans="1:14" x14ac:dyDescent="0.3">
      <c r="A498" s="2" t="s">
        <v>951</v>
      </c>
      <c r="B498" s="2" t="s">
        <v>952</v>
      </c>
      <c r="C498" s="2" t="s">
        <v>124</v>
      </c>
      <c r="D498" s="2" t="s">
        <v>59</v>
      </c>
      <c r="E498" s="2" t="s">
        <v>60</v>
      </c>
      <c r="F498" s="2" t="s">
        <v>35</v>
      </c>
      <c r="G498" s="2" t="s">
        <v>36</v>
      </c>
      <c r="H498" s="2">
        <v>2585.7199999999998</v>
      </c>
      <c r="I498" s="2">
        <v>1473.17</v>
      </c>
      <c r="J498" s="2">
        <v>1112.55</v>
      </c>
      <c r="K498" s="2" t="s">
        <v>21</v>
      </c>
      <c r="L498" s="2"/>
      <c r="M498" s="2">
        <v>3</v>
      </c>
      <c r="N498" s="2" t="s">
        <v>22</v>
      </c>
    </row>
    <row r="499" spans="1:14" x14ac:dyDescent="0.3">
      <c r="A499" s="2" t="s">
        <v>953</v>
      </c>
      <c r="B499" s="2" t="s">
        <v>954</v>
      </c>
      <c r="C499" s="2" t="s">
        <v>124</v>
      </c>
      <c r="D499" s="2" t="s">
        <v>59</v>
      </c>
      <c r="E499" s="2" t="s">
        <v>155</v>
      </c>
      <c r="F499" s="2" t="s">
        <v>84</v>
      </c>
      <c r="G499" s="2" t="s">
        <v>36</v>
      </c>
      <c r="H499" s="2">
        <v>1078.9100000000001</v>
      </c>
      <c r="I499" s="2">
        <v>610.23</v>
      </c>
      <c r="J499" s="2">
        <v>468.68</v>
      </c>
      <c r="K499" s="2" t="s">
        <v>21</v>
      </c>
      <c r="L499" s="2"/>
      <c r="M499" s="2">
        <v>5</v>
      </c>
      <c r="N499" s="2" t="s">
        <v>22</v>
      </c>
    </row>
    <row r="500" spans="1:14" x14ac:dyDescent="0.3">
      <c r="A500" s="2" t="s">
        <v>955</v>
      </c>
      <c r="B500" s="2" t="s">
        <v>956</v>
      </c>
      <c r="C500" s="2" t="s">
        <v>54</v>
      </c>
      <c r="D500" s="2" t="s">
        <v>59</v>
      </c>
      <c r="E500" s="2" t="s">
        <v>301</v>
      </c>
      <c r="F500" s="2" t="s">
        <v>40</v>
      </c>
      <c r="G500" s="2" t="s">
        <v>73</v>
      </c>
      <c r="H500" s="2">
        <v>321.38</v>
      </c>
      <c r="I500" s="2">
        <v>221.9</v>
      </c>
      <c r="J500" s="2">
        <v>99.48</v>
      </c>
      <c r="K500" s="2" t="s">
        <v>21</v>
      </c>
      <c r="L500" s="2"/>
      <c r="M500" s="2">
        <v>4</v>
      </c>
      <c r="N500" s="2" t="s">
        <v>22</v>
      </c>
    </row>
    <row r="501" spans="1:14" x14ac:dyDescent="0.3">
      <c r="A501" s="2" t="s">
        <v>957</v>
      </c>
      <c r="B501" s="2" t="s">
        <v>844</v>
      </c>
      <c r="C501" s="2" t="s">
        <v>25</v>
      </c>
      <c r="D501" s="2" t="s">
        <v>17</v>
      </c>
      <c r="E501" s="2"/>
      <c r="F501" s="2" t="s">
        <v>40</v>
      </c>
      <c r="G501" s="2" t="s">
        <v>20</v>
      </c>
      <c r="H501" s="2">
        <v>2405.77</v>
      </c>
      <c r="I501" s="2">
        <v>1915.09</v>
      </c>
      <c r="J501" s="2">
        <v>490.68</v>
      </c>
      <c r="K501" s="2" t="s">
        <v>56</v>
      </c>
      <c r="L501" s="2">
        <v>2</v>
      </c>
      <c r="M501" s="2">
        <v>2</v>
      </c>
      <c r="N501" s="2" t="s">
        <v>22</v>
      </c>
    </row>
    <row r="502" spans="1:14" x14ac:dyDescent="0.3">
      <c r="A502" s="2" t="s">
        <v>958</v>
      </c>
      <c r="B502" s="2" t="s">
        <v>551</v>
      </c>
      <c r="C502" s="2" t="s">
        <v>76</v>
      </c>
      <c r="D502" s="2" t="s">
        <v>7</v>
      </c>
      <c r="E502" s="2" t="s">
        <v>134</v>
      </c>
      <c r="F502" s="2" t="s">
        <v>84</v>
      </c>
      <c r="G502" s="2" t="s">
        <v>44</v>
      </c>
      <c r="H502" s="2">
        <v>2476.98</v>
      </c>
      <c r="I502" s="2">
        <v>1532.27</v>
      </c>
      <c r="J502" s="2">
        <v>944.71</v>
      </c>
      <c r="K502" s="2" t="s">
        <v>21</v>
      </c>
      <c r="L502" s="2"/>
      <c r="M502" s="2">
        <v>5</v>
      </c>
      <c r="N502" s="2" t="s">
        <v>29</v>
      </c>
    </row>
    <row r="503" spans="1:14" x14ac:dyDescent="0.3">
      <c r="A503" s="2" t="s">
        <v>959</v>
      </c>
      <c r="B503" s="2" t="s">
        <v>960</v>
      </c>
      <c r="C503" s="2" t="s">
        <v>64</v>
      </c>
      <c r="D503" s="2" t="s">
        <v>33</v>
      </c>
      <c r="E503" s="2" t="s">
        <v>93</v>
      </c>
      <c r="F503" s="2" t="s">
        <v>84</v>
      </c>
      <c r="G503" s="2" t="s">
        <v>44</v>
      </c>
      <c r="H503" s="2">
        <v>945.79</v>
      </c>
      <c r="I503" s="2">
        <v>531.91999999999996</v>
      </c>
      <c r="J503" s="2">
        <v>413.87</v>
      </c>
      <c r="K503" s="2" t="s">
        <v>56</v>
      </c>
      <c r="L503" s="2">
        <v>7</v>
      </c>
      <c r="M503" s="2">
        <v>1</v>
      </c>
      <c r="N503" s="2" t="s">
        <v>22</v>
      </c>
    </row>
    <row r="504" spans="1:14" x14ac:dyDescent="0.3">
      <c r="A504" s="2" t="s">
        <v>961</v>
      </c>
      <c r="B504" s="2" t="s">
        <v>314</v>
      </c>
      <c r="C504" s="2" t="s">
        <v>115</v>
      </c>
      <c r="D504" s="2" t="s">
        <v>17</v>
      </c>
      <c r="E504" s="2" t="s">
        <v>469</v>
      </c>
      <c r="F504" s="2" t="s">
        <v>84</v>
      </c>
      <c r="G504" s="2" t="s">
        <v>44</v>
      </c>
      <c r="H504" s="2">
        <v>154.87</v>
      </c>
      <c r="I504" s="2">
        <v>89.62</v>
      </c>
      <c r="J504" s="2">
        <v>65.25</v>
      </c>
      <c r="K504" s="2" t="s">
        <v>21</v>
      </c>
      <c r="L504" s="2"/>
      <c r="M504" s="2">
        <v>4</v>
      </c>
      <c r="N504" s="2" t="s">
        <v>22</v>
      </c>
    </row>
    <row r="505" spans="1:14" x14ac:dyDescent="0.3">
      <c r="A505" s="2" t="s">
        <v>962</v>
      </c>
      <c r="B505" s="2" t="s">
        <v>330</v>
      </c>
      <c r="C505" s="2" t="s">
        <v>124</v>
      </c>
      <c r="D505" s="2" t="s">
        <v>7</v>
      </c>
      <c r="E505" s="2" t="s">
        <v>182</v>
      </c>
      <c r="F505" s="2" t="s">
        <v>27</v>
      </c>
      <c r="G505" s="2" t="s">
        <v>28</v>
      </c>
      <c r="H505" s="2">
        <v>1199.73</v>
      </c>
      <c r="I505" s="2">
        <v>924.09</v>
      </c>
      <c r="J505" s="2">
        <v>275.64</v>
      </c>
      <c r="K505" s="2" t="s">
        <v>21</v>
      </c>
      <c r="L505" s="2"/>
      <c r="M505" s="2">
        <v>5</v>
      </c>
      <c r="N505" s="2" t="s">
        <v>22</v>
      </c>
    </row>
    <row r="506" spans="1:14" x14ac:dyDescent="0.3">
      <c r="A506" s="2" t="s">
        <v>963</v>
      </c>
      <c r="B506" s="2" t="s">
        <v>513</v>
      </c>
      <c r="C506" s="2" t="s">
        <v>179</v>
      </c>
      <c r="D506" s="2" t="s">
        <v>59</v>
      </c>
      <c r="E506" s="2" t="s">
        <v>194</v>
      </c>
      <c r="F506" s="2" t="s">
        <v>19</v>
      </c>
      <c r="G506" s="2" t="s">
        <v>36</v>
      </c>
      <c r="H506" s="2">
        <v>1814.65</v>
      </c>
      <c r="I506" s="2">
        <v>1140.71</v>
      </c>
      <c r="J506" s="2">
        <v>673.94</v>
      </c>
      <c r="K506" s="2" t="s">
        <v>338</v>
      </c>
      <c r="L506" s="2"/>
      <c r="M506" s="2">
        <v>3</v>
      </c>
      <c r="N506" s="2" t="s">
        <v>22</v>
      </c>
    </row>
    <row r="507" spans="1:14" x14ac:dyDescent="0.3">
      <c r="A507" s="2" t="s">
        <v>964</v>
      </c>
      <c r="B507" s="2" t="s">
        <v>541</v>
      </c>
      <c r="C507" s="2" t="s">
        <v>16</v>
      </c>
      <c r="D507" s="2" t="s">
        <v>17</v>
      </c>
      <c r="E507" s="2" t="s">
        <v>96</v>
      </c>
      <c r="F507" s="2" t="s">
        <v>19</v>
      </c>
      <c r="G507" s="2" t="s">
        <v>28</v>
      </c>
      <c r="H507" s="2">
        <v>880.06</v>
      </c>
      <c r="I507" s="2">
        <v>561.76</v>
      </c>
      <c r="J507" s="2">
        <v>318.3</v>
      </c>
      <c r="K507" s="2" t="s">
        <v>21</v>
      </c>
      <c r="L507" s="2"/>
      <c r="M507" s="2">
        <v>4</v>
      </c>
      <c r="N507" s="2" t="s">
        <v>22</v>
      </c>
    </row>
    <row r="508" spans="1:14" x14ac:dyDescent="0.3">
      <c r="A508" s="2" t="s">
        <v>965</v>
      </c>
      <c r="B508" s="2" t="s">
        <v>411</v>
      </c>
      <c r="C508" s="2" t="s">
        <v>179</v>
      </c>
      <c r="D508" s="2" t="s">
        <v>17</v>
      </c>
      <c r="E508" s="2" t="s">
        <v>226</v>
      </c>
      <c r="F508" s="2" t="s">
        <v>84</v>
      </c>
      <c r="G508" s="2" t="s">
        <v>36</v>
      </c>
      <c r="H508" s="2">
        <v>3022</v>
      </c>
      <c r="I508" s="2">
        <v>1752.03</v>
      </c>
      <c r="J508" s="2">
        <v>1269.97</v>
      </c>
      <c r="K508" s="2" t="s">
        <v>21</v>
      </c>
      <c r="L508" s="2"/>
      <c r="M508" s="2">
        <v>5</v>
      </c>
      <c r="N508" s="2" t="s">
        <v>29</v>
      </c>
    </row>
    <row r="509" spans="1:14" x14ac:dyDescent="0.3">
      <c r="A509" s="2" t="s">
        <v>966</v>
      </c>
      <c r="B509" s="2" t="s">
        <v>967</v>
      </c>
      <c r="C509" s="2" t="s">
        <v>111</v>
      </c>
      <c r="D509" s="2" t="s">
        <v>42</v>
      </c>
      <c r="E509" s="2" t="s">
        <v>77</v>
      </c>
      <c r="F509" s="2" t="s">
        <v>35</v>
      </c>
      <c r="G509" s="2" t="s">
        <v>44</v>
      </c>
      <c r="H509" s="2">
        <v>1229.98</v>
      </c>
      <c r="I509" s="2">
        <v>892.21</v>
      </c>
      <c r="J509" s="2">
        <v>337.77</v>
      </c>
      <c r="K509" s="2" t="s">
        <v>21</v>
      </c>
      <c r="L509" s="2"/>
      <c r="M509" s="2">
        <v>5</v>
      </c>
      <c r="N509" s="2" t="s">
        <v>22</v>
      </c>
    </row>
    <row r="510" spans="1:14" x14ac:dyDescent="0.3">
      <c r="A510" s="2" t="s">
        <v>968</v>
      </c>
      <c r="B510" s="2" t="s">
        <v>75</v>
      </c>
      <c r="C510" s="2" t="s">
        <v>76</v>
      </c>
      <c r="D510" s="2" t="s">
        <v>7</v>
      </c>
      <c r="E510" s="2" t="s">
        <v>182</v>
      </c>
      <c r="F510" s="2" t="s">
        <v>35</v>
      </c>
      <c r="G510" s="2" t="s">
        <v>36</v>
      </c>
      <c r="H510" s="2">
        <v>1293.51</v>
      </c>
      <c r="I510" s="2">
        <v>1018.77</v>
      </c>
      <c r="J510" s="2">
        <v>274.74</v>
      </c>
      <c r="K510" s="2" t="s">
        <v>21</v>
      </c>
      <c r="L510" s="2"/>
      <c r="M510" s="2">
        <v>5</v>
      </c>
      <c r="N510" s="2" t="s">
        <v>22</v>
      </c>
    </row>
    <row r="511" spans="1:14" x14ac:dyDescent="0.3">
      <c r="A511" s="2" t="s">
        <v>969</v>
      </c>
      <c r="B511" s="2" t="s">
        <v>970</v>
      </c>
      <c r="C511" s="2" t="s">
        <v>111</v>
      </c>
      <c r="D511" s="2" t="s">
        <v>7</v>
      </c>
      <c r="E511" s="2" t="s">
        <v>182</v>
      </c>
      <c r="F511" s="2" t="s">
        <v>84</v>
      </c>
      <c r="G511" s="2" t="s">
        <v>73</v>
      </c>
      <c r="H511" s="2">
        <v>3286.66</v>
      </c>
      <c r="I511" s="2">
        <v>2229.89</v>
      </c>
      <c r="J511" s="2">
        <v>1056.77</v>
      </c>
      <c r="K511" s="2" t="s">
        <v>21</v>
      </c>
      <c r="L511" s="2"/>
      <c r="M511" s="2">
        <v>3</v>
      </c>
      <c r="N511" s="2" t="s">
        <v>22</v>
      </c>
    </row>
    <row r="512" spans="1:14" x14ac:dyDescent="0.3">
      <c r="A512" s="2" t="s">
        <v>971</v>
      </c>
      <c r="B512" s="2" t="s">
        <v>581</v>
      </c>
      <c r="C512" s="2" t="s">
        <v>124</v>
      </c>
      <c r="D512" s="2" t="s">
        <v>7</v>
      </c>
      <c r="E512" s="2" t="s">
        <v>65</v>
      </c>
      <c r="F512" s="2" t="s">
        <v>40</v>
      </c>
      <c r="G512" s="2" t="s">
        <v>36</v>
      </c>
      <c r="H512" s="2">
        <v>1620.88</v>
      </c>
      <c r="I512" s="2">
        <v>1294.26</v>
      </c>
      <c r="J512" s="2">
        <v>326.62</v>
      </c>
      <c r="K512" s="2" t="s">
        <v>21</v>
      </c>
      <c r="L512" s="2"/>
      <c r="M512" s="2">
        <v>5</v>
      </c>
      <c r="N512" s="2" t="s">
        <v>22</v>
      </c>
    </row>
    <row r="513" spans="1:14" x14ac:dyDescent="0.3">
      <c r="A513" s="2" t="s">
        <v>972</v>
      </c>
      <c r="B513" s="2" t="s">
        <v>973</v>
      </c>
      <c r="C513" s="2" t="s">
        <v>32</v>
      </c>
      <c r="D513" s="2" t="s">
        <v>33</v>
      </c>
      <c r="E513" s="2" t="s">
        <v>297</v>
      </c>
      <c r="F513" s="2" t="s">
        <v>40</v>
      </c>
      <c r="G513" s="2" t="s">
        <v>73</v>
      </c>
      <c r="H513" s="2">
        <v>461.76</v>
      </c>
      <c r="I513" s="2">
        <v>365.59</v>
      </c>
      <c r="J513" s="2">
        <v>96.17</v>
      </c>
      <c r="K513" s="2" t="s">
        <v>21</v>
      </c>
      <c r="L513" s="2"/>
      <c r="M513" s="2">
        <v>4</v>
      </c>
      <c r="N513" s="2" t="s">
        <v>29</v>
      </c>
    </row>
    <row r="514" spans="1:14" x14ac:dyDescent="0.3">
      <c r="A514" s="2" t="s">
        <v>974</v>
      </c>
      <c r="B514" s="2" t="s">
        <v>975</v>
      </c>
      <c r="C514" s="2" t="s">
        <v>76</v>
      </c>
      <c r="D514" s="2" t="s">
        <v>7</v>
      </c>
      <c r="E514" s="2" t="s">
        <v>55</v>
      </c>
      <c r="F514" s="2" t="s">
        <v>87</v>
      </c>
      <c r="G514" s="2" t="s">
        <v>28</v>
      </c>
      <c r="H514" s="2">
        <v>1062.3699999999999</v>
      </c>
      <c r="I514" s="2">
        <v>744.94</v>
      </c>
      <c r="J514" s="2">
        <v>317.43</v>
      </c>
      <c r="K514" s="2" t="s">
        <v>21</v>
      </c>
      <c r="L514" s="2"/>
      <c r="M514" s="2">
        <v>4</v>
      </c>
      <c r="N514" s="2" t="s">
        <v>22</v>
      </c>
    </row>
    <row r="515" spans="1:14" x14ac:dyDescent="0.3">
      <c r="A515" s="2" t="s">
        <v>976</v>
      </c>
      <c r="B515" s="2" t="s">
        <v>977</v>
      </c>
      <c r="C515" s="2" t="s">
        <v>76</v>
      </c>
      <c r="D515" s="2" t="s">
        <v>33</v>
      </c>
      <c r="E515" s="2" t="s">
        <v>39</v>
      </c>
      <c r="F515" s="2" t="s">
        <v>87</v>
      </c>
      <c r="G515" s="2" t="s">
        <v>44</v>
      </c>
      <c r="H515" s="2">
        <v>2132.56</v>
      </c>
      <c r="I515" s="2">
        <v>1482.47</v>
      </c>
      <c r="J515" s="2">
        <v>650.09</v>
      </c>
      <c r="K515" s="2" t="s">
        <v>21</v>
      </c>
      <c r="L515" s="2"/>
      <c r="M515" s="2">
        <v>5</v>
      </c>
      <c r="N515" s="2" t="s">
        <v>22</v>
      </c>
    </row>
    <row r="516" spans="1:14" x14ac:dyDescent="0.3">
      <c r="A516" s="2" t="s">
        <v>978</v>
      </c>
      <c r="B516" s="2" t="s">
        <v>327</v>
      </c>
      <c r="C516" s="2" t="s">
        <v>104</v>
      </c>
      <c r="D516" s="2" t="s">
        <v>42</v>
      </c>
      <c r="E516" s="2" t="s">
        <v>77</v>
      </c>
      <c r="F516" s="2" t="s">
        <v>27</v>
      </c>
      <c r="G516" s="2" t="s">
        <v>36</v>
      </c>
      <c r="H516" s="2">
        <v>1467.45</v>
      </c>
      <c r="I516" s="2">
        <v>1177.18</v>
      </c>
      <c r="J516" s="2">
        <v>290.27</v>
      </c>
      <c r="K516" s="2" t="s">
        <v>56</v>
      </c>
      <c r="L516" s="2">
        <v>10</v>
      </c>
      <c r="M516" s="2">
        <v>4</v>
      </c>
      <c r="N516" s="2" t="s">
        <v>22</v>
      </c>
    </row>
    <row r="517" spans="1:14" x14ac:dyDescent="0.3">
      <c r="A517" s="2" t="s">
        <v>979</v>
      </c>
      <c r="B517" s="2" t="s">
        <v>980</v>
      </c>
      <c r="C517" s="2" t="s">
        <v>179</v>
      </c>
      <c r="D517" s="2" t="s">
        <v>33</v>
      </c>
      <c r="E517" s="2" t="s">
        <v>39</v>
      </c>
      <c r="F517" s="2" t="s">
        <v>84</v>
      </c>
      <c r="G517" s="2" t="s">
        <v>20</v>
      </c>
      <c r="H517" s="2">
        <v>2301.73</v>
      </c>
      <c r="I517" s="2">
        <v>1436.4</v>
      </c>
      <c r="J517" s="2">
        <v>865.33</v>
      </c>
      <c r="K517" s="2" t="s">
        <v>21</v>
      </c>
      <c r="L517" s="2"/>
      <c r="M517" s="2">
        <v>3</v>
      </c>
      <c r="N517" s="2" t="s">
        <v>29</v>
      </c>
    </row>
    <row r="518" spans="1:14" x14ac:dyDescent="0.3">
      <c r="A518" s="2" t="s">
        <v>939</v>
      </c>
      <c r="B518" s="2" t="s">
        <v>940</v>
      </c>
      <c r="C518" s="2" t="s">
        <v>25</v>
      </c>
      <c r="D518" s="2" t="s">
        <v>7</v>
      </c>
      <c r="E518" s="2" t="s">
        <v>65</v>
      </c>
      <c r="F518" s="2" t="s">
        <v>40</v>
      </c>
      <c r="G518" s="2" t="s">
        <v>28</v>
      </c>
      <c r="H518" s="2">
        <v>2300.4899999999998</v>
      </c>
      <c r="I518" s="2">
        <v>1365.29</v>
      </c>
      <c r="J518" s="2">
        <v>935.2</v>
      </c>
      <c r="K518" s="2" t="s">
        <v>21</v>
      </c>
      <c r="L518" s="2"/>
      <c r="M518" s="2">
        <v>5</v>
      </c>
      <c r="N518" s="2" t="s">
        <v>22</v>
      </c>
    </row>
    <row r="519" spans="1:14" x14ac:dyDescent="0.3">
      <c r="A519" s="2" t="s">
        <v>981</v>
      </c>
      <c r="B519" s="2" t="s">
        <v>982</v>
      </c>
      <c r="C519" s="2" t="s">
        <v>25</v>
      </c>
      <c r="D519" s="2" t="s">
        <v>42</v>
      </c>
      <c r="E519" s="2" t="s">
        <v>162</v>
      </c>
      <c r="F519" s="2" t="s">
        <v>87</v>
      </c>
      <c r="G519" s="2" t="s">
        <v>44</v>
      </c>
      <c r="H519" s="2">
        <v>1261.31</v>
      </c>
      <c r="I519" s="2">
        <v>1053.33</v>
      </c>
      <c r="J519" s="2">
        <v>207.98</v>
      </c>
      <c r="K519" s="2" t="s">
        <v>56</v>
      </c>
      <c r="L519" s="2">
        <v>8</v>
      </c>
      <c r="M519" s="2">
        <v>1</v>
      </c>
      <c r="N519" s="2" t="s">
        <v>22</v>
      </c>
    </row>
    <row r="520" spans="1:14" x14ac:dyDescent="0.3">
      <c r="A520" s="2" t="s">
        <v>983</v>
      </c>
      <c r="B520" s="2" t="s">
        <v>264</v>
      </c>
      <c r="C520" s="2" t="s">
        <v>68</v>
      </c>
      <c r="D520" s="2" t="s">
        <v>17</v>
      </c>
      <c r="E520" s="2" t="s">
        <v>100</v>
      </c>
      <c r="F520" s="2" t="s">
        <v>40</v>
      </c>
      <c r="G520" s="2" t="s">
        <v>36</v>
      </c>
      <c r="H520" s="2">
        <v>3284.96</v>
      </c>
      <c r="I520" s="2">
        <v>2599.19</v>
      </c>
      <c r="J520" s="2">
        <v>685.77</v>
      </c>
      <c r="K520" s="2" t="s">
        <v>338</v>
      </c>
      <c r="L520" s="2"/>
      <c r="M520" s="2">
        <v>2</v>
      </c>
      <c r="N520" s="2" t="s">
        <v>22</v>
      </c>
    </row>
    <row r="521" spans="1:14" x14ac:dyDescent="0.3">
      <c r="A521" s="2" t="s">
        <v>984</v>
      </c>
      <c r="B521" s="2" t="s">
        <v>709</v>
      </c>
      <c r="C521" s="2" t="s">
        <v>111</v>
      </c>
      <c r="D521" s="2" t="s">
        <v>127</v>
      </c>
      <c r="E521" s="2" t="s">
        <v>185</v>
      </c>
      <c r="F521" s="2" t="s">
        <v>40</v>
      </c>
      <c r="G521" s="2" t="s">
        <v>20</v>
      </c>
      <c r="H521" s="2">
        <v>1430.04</v>
      </c>
      <c r="I521" s="2">
        <v>1012.59</v>
      </c>
      <c r="J521" s="2">
        <v>417.45</v>
      </c>
      <c r="K521" s="2" t="s">
        <v>21</v>
      </c>
      <c r="L521" s="2"/>
      <c r="M521" s="2">
        <v>3</v>
      </c>
      <c r="N521" s="2" t="s">
        <v>22</v>
      </c>
    </row>
    <row r="522" spans="1:14" x14ac:dyDescent="0.3">
      <c r="A522" s="2" t="s">
        <v>985</v>
      </c>
      <c r="B522" s="2" t="s">
        <v>986</v>
      </c>
      <c r="C522" s="2" t="s">
        <v>76</v>
      </c>
      <c r="D522" s="2" t="s">
        <v>59</v>
      </c>
      <c r="E522" s="2" t="s">
        <v>301</v>
      </c>
      <c r="F522" s="2" t="s">
        <v>19</v>
      </c>
      <c r="G522" s="2" t="s">
        <v>36</v>
      </c>
      <c r="H522" s="2">
        <v>2400.16</v>
      </c>
      <c r="I522" s="2">
        <v>1500.1</v>
      </c>
      <c r="J522" s="2">
        <v>900.06</v>
      </c>
      <c r="K522" s="2" t="s">
        <v>21</v>
      </c>
      <c r="L522" s="2"/>
      <c r="M522" s="2">
        <v>1</v>
      </c>
      <c r="N522" s="2" t="s">
        <v>22</v>
      </c>
    </row>
    <row r="523" spans="1:14" x14ac:dyDescent="0.3">
      <c r="A523" s="2" t="s">
        <v>987</v>
      </c>
      <c r="B523" s="2" t="s">
        <v>988</v>
      </c>
      <c r="C523" s="2" t="s">
        <v>54</v>
      </c>
      <c r="D523" s="2" t="s">
        <v>42</v>
      </c>
      <c r="E523" s="2" t="s">
        <v>214</v>
      </c>
      <c r="F523" s="2" t="s">
        <v>40</v>
      </c>
      <c r="G523" s="2" t="s">
        <v>73</v>
      </c>
      <c r="H523" s="2">
        <v>3257.15</v>
      </c>
      <c r="I523" s="2">
        <v>2937.77</v>
      </c>
      <c r="J523" s="2">
        <v>319.38</v>
      </c>
      <c r="K523" s="2" t="s">
        <v>56</v>
      </c>
      <c r="L523" s="2">
        <v>8</v>
      </c>
      <c r="M523" s="2">
        <v>2</v>
      </c>
      <c r="N523" s="2" t="s">
        <v>22</v>
      </c>
    </row>
    <row r="524" spans="1:14" x14ac:dyDescent="0.3">
      <c r="A524" s="2" t="s">
        <v>989</v>
      </c>
      <c r="B524" s="2" t="s">
        <v>990</v>
      </c>
      <c r="C524" s="2" t="s">
        <v>68</v>
      </c>
      <c r="D524" s="2" t="s">
        <v>33</v>
      </c>
      <c r="E524" s="2" t="s">
        <v>119</v>
      </c>
      <c r="F524" s="2" t="s">
        <v>27</v>
      </c>
      <c r="G524" s="2" t="s">
        <v>991</v>
      </c>
      <c r="H524" s="2">
        <v>2751.59</v>
      </c>
      <c r="I524" s="2">
        <v>2071.46</v>
      </c>
      <c r="J524" s="2">
        <v>680.13</v>
      </c>
      <c r="K524" s="2" t="s">
        <v>21</v>
      </c>
      <c r="L524" s="2"/>
      <c r="M524" s="2">
        <v>1</v>
      </c>
      <c r="N524" s="2" t="s">
        <v>22</v>
      </c>
    </row>
    <row r="525" spans="1:14" x14ac:dyDescent="0.3">
      <c r="A525" s="2" t="s">
        <v>992</v>
      </c>
      <c r="B525" s="2" t="s">
        <v>993</v>
      </c>
      <c r="C525" s="2" t="s">
        <v>25</v>
      </c>
      <c r="D525" s="2" t="s">
        <v>42</v>
      </c>
      <c r="E525" s="2" t="s">
        <v>80</v>
      </c>
      <c r="F525" s="2" t="s">
        <v>84</v>
      </c>
      <c r="G525" s="2" t="s">
        <v>44</v>
      </c>
      <c r="H525" s="2">
        <v>2039.84</v>
      </c>
      <c r="I525" s="2">
        <v>1830.57</v>
      </c>
      <c r="J525" s="2">
        <v>209.27</v>
      </c>
      <c r="K525" s="2" t="s">
        <v>56</v>
      </c>
      <c r="L525" s="2">
        <v>6</v>
      </c>
      <c r="M525" s="2">
        <v>1</v>
      </c>
      <c r="N525" s="2" t="s">
        <v>22</v>
      </c>
    </row>
    <row r="526" spans="1:14" x14ac:dyDescent="0.3">
      <c r="A526" s="2" t="s">
        <v>994</v>
      </c>
      <c r="B526" s="2" t="s">
        <v>667</v>
      </c>
      <c r="C526" s="2" t="s">
        <v>104</v>
      </c>
      <c r="D526" s="2" t="s">
        <v>33</v>
      </c>
      <c r="E526" s="2" t="s">
        <v>105</v>
      </c>
      <c r="F526" s="2" t="s">
        <v>87</v>
      </c>
      <c r="G526" s="2" t="s">
        <v>36</v>
      </c>
      <c r="H526" s="2">
        <v>1027.68</v>
      </c>
      <c r="I526" s="2">
        <v>611.63</v>
      </c>
      <c r="J526" s="2">
        <v>416.05</v>
      </c>
      <c r="K526" s="2" t="s">
        <v>21</v>
      </c>
      <c r="L526" s="2"/>
      <c r="M526" s="2">
        <v>5</v>
      </c>
      <c r="N526" s="2" t="s">
        <v>22</v>
      </c>
    </row>
    <row r="527" spans="1:14" x14ac:dyDescent="0.3">
      <c r="A527" s="2" t="s">
        <v>995</v>
      </c>
      <c r="B527" s="2" t="s">
        <v>435</v>
      </c>
      <c r="C527" s="2" t="s">
        <v>76</v>
      </c>
      <c r="D527" s="2" t="s">
        <v>33</v>
      </c>
      <c r="E527" s="2" t="s">
        <v>205</v>
      </c>
      <c r="F527" s="2"/>
      <c r="G527" s="2" t="s">
        <v>20</v>
      </c>
      <c r="H527" s="2">
        <v>1259.4100000000001</v>
      </c>
      <c r="I527" s="2">
        <v>717.17</v>
      </c>
      <c r="J527" s="2">
        <v>542.24</v>
      </c>
      <c r="K527" s="2" t="s">
        <v>21</v>
      </c>
      <c r="L527" s="2"/>
      <c r="M527" s="2">
        <v>5</v>
      </c>
      <c r="N527" s="2" t="s">
        <v>29</v>
      </c>
    </row>
    <row r="528" spans="1:14" x14ac:dyDescent="0.3">
      <c r="A528" s="2" t="s">
        <v>996</v>
      </c>
      <c r="B528" s="2" t="s">
        <v>997</v>
      </c>
      <c r="C528" s="2" t="s">
        <v>25</v>
      </c>
      <c r="D528" s="2" t="s">
        <v>33</v>
      </c>
      <c r="E528" s="2"/>
      <c r="F528" s="2" t="s">
        <v>40</v>
      </c>
      <c r="G528" s="2" t="s">
        <v>44</v>
      </c>
      <c r="H528" s="2">
        <v>172.15</v>
      </c>
      <c r="I528" s="2">
        <v>118.42</v>
      </c>
      <c r="J528" s="2">
        <v>53.73</v>
      </c>
      <c r="K528" s="2" t="s">
        <v>56</v>
      </c>
      <c r="L528" s="2">
        <v>5</v>
      </c>
      <c r="M528" s="2">
        <v>1</v>
      </c>
      <c r="N528" s="2" t="s">
        <v>22</v>
      </c>
    </row>
    <row r="529" spans="1:14" x14ac:dyDescent="0.3">
      <c r="A529" s="2" t="s">
        <v>998</v>
      </c>
      <c r="B529" s="2" t="s">
        <v>999</v>
      </c>
      <c r="C529" s="2" t="s">
        <v>115</v>
      </c>
      <c r="D529" s="2" t="s">
        <v>17</v>
      </c>
      <c r="E529" s="2" t="s">
        <v>226</v>
      </c>
      <c r="F529" s="2" t="s">
        <v>61</v>
      </c>
      <c r="G529" s="2" t="s">
        <v>20</v>
      </c>
      <c r="H529" s="2">
        <v>3421.65</v>
      </c>
      <c r="I529" s="2">
        <v>1967.11</v>
      </c>
      <c r="J529" s="2">
        <v>1454.54</v>
      </c>
      <c r="K529" s="2" t="s">
        <v>21</v>
      </c>
      <c r="L529" s="2"/>
      <c r="M529" s="2">
        <v>3</v>
      </c>
      <c r="N529" s="2" t="s">
        <v>22</v>
      </c>
    </row>
    <row r="530" spans="1:14" x14ac:dyDescent="0.3">
      <c r="A530" s="2" t="s">
        <v>1000</v>
      </c>
      <c r="B530" s="2" t="s">
        <v>82</v>
      </c>
      <c r="C530" s="2" t="s">
        <v>54</v>
      </c>
      <c r="D530" s="2" t="s">
        <v>7</v>
      </c>
      <c r="E530" s="2" t="s">
        <v>134</v>
      </c>
      <c r="F530" s="2" t="s">
        <v>19</v>
      </c>
      <c r="G530" s="2" t="s">
        <v>44</v>
      </c>
      <c r="H530" s="2">
        <v>3445.83</v>
      </c>
      <c r="I530" s="2">
        <v>1929.02</v>
      </c>
      <c r="J530" s="2">
        <v>1516.81</v>
      </c>
      <c r="K530" s="2" t="s">
        <v>21</v>
      </c>
      <c r="L530" s="2"/>
      <c r="M530" s="2">
        <v>2</v>
      </c>
      <c r="N530" s="2" t="s">
        <v>22</v>
      </c>
    </row>
    <row r="531" spans="1:14" x14ac:dyDescent="0.3">
      <c r="A531" s="2" t="s">
        <v>1001</v>
      </c>
      <c r="B531" s="2" t="s">
        <v>50</v>
      </c>
      <c r="C531" s="2" t="s">
        <v>16</v>
      </c>
      <c r="D531" s="2" t="s">
        <v>33</v>
      </c>
      <c r="E531" s="2" t="s">
        <v>119</v>
      </c>
      <c r="F531" s="2" t="s">
        <v>27</v>
      </c>
      <c r="G531" s="2" t="s">
        <v>28</v>
      </c>
      <c r="H531" s="2">
        <v>2637.08</v>
      </c>
      <c r="I531" s="2">
        <v>1820.42</v>
      </c>
      <c r="J531" s="2">
        <v>816.66</v>
      </c>
      <c r="K531" s="2" t="s">
        <v>21</v>
      </c>
      <c r="L531" s="2"/>
      <c r="M531" s="2">
        <v>5</v>
      </c>
      <c r="N531" s="2" t="s">
        <v>22</v>
      </c>
    </row>
    <row r="532" spans="1:14" x14ac:dyDescent="0.3">
      <c r="A532" s="2" t="s">
        <v>1002</v>
      </c>
      <c r="B532" s="2" t="s">
        <v>1003</v>
      </c>
      <c r="C532" s="2" t="s">
        <v>16</v>
      </c>
      <c r="D532" s="2" t="s">
        <v>33</v>
      </c>
      <c r="E532" s="2" t="s">
        <v>39</v>
      </c>
      <c r="F532" s="2" t="s">
        <v>35</v>
      </c>
      <c r="G532" s="2" t="s">
        <v>28</v>
      </c>
      <c r="H532" s="2">
        <v>1643.36</v>
      </c>
      <c r="I532" s="2">
        <v>1064.54</v>
      </c>
      <c r="J532" s="2">
        <v>578.82000000000005</v>
      </c>
      <c r="K532" s="2" t="s">
        <v>229</v>
      </c>
      <c r="L532" s="2"/>
      <c r="M532" s="2">
        <v>4</v>
      </c>
      <c r="N532" s="2" t="s">
        <v>22</v>
      </c>
    </row>
    <row r="533" spans="1:14" x14ac:dyDescent="0.3">
      <c r="A533" s="2" t="s">
        <v>1004</v>
      </c>
      <c r="B533" s="2" t="s">
        <v>1005</v>
      </c>
      <c r="C533" s="2" t="s">
        <v>104</v>
      </c>
      <c r="D533" s="2" t="s">
        <v>7</v>
      </c>
      <c r="E533" s="2" t="s">
        <v>65</v>
      </c>
      <c r="F533" s="2" t="s">
        <v>84</v>
      </c>
      <c r="G533" s="2" t="s">
        <v>28</v>
      </c>
      <c r="H533" s="2">
        <v>1350.85</v>
      </c>
      <c r="I533" s="2">
        <v>888.42</v>
      </c>
      <c r="J533" s="2">
        <v>462.43</v>
      </c>
      <c r="K533" s="2" t="s">
        <v>21</v>
      </c>
      <c r="L533" s="2"/>
      <c r="M533" s="2">
        <v>5</v>
      </c>
      <c r="N533" s="2" t="s">
        <v>29</v>
      </c>
    </row>
    <row r="534" spans="1:14" x14ac:dyDescent="0.3">
      <c r="A534" s="2" t="s">
        <v>1006</v>
      </c>
      <c r="B534" s="2" t="s">
        <v>405</v>
      </c>
      <c r="C534" s="2" t="s">
        <v>179</v>
      </c>
      <c r="D534" s="2" t="s">
        <v>7</v>
      </c>
      <c r="E534" s="2" t="s">
        <v>134</v>
      </c>
      <c r="F534" s="2" t="s">
        <v>27</v>
      </c>
      <c r="G534" s="2" t="s">
        <v>44</v>
      </c>
      <c r="H534" s="2">
        <v>1383.77</v>
      </c>
      <c r="I534" s="2">
        <v>949.09</v>
      </c>
      <c r="J534" s="2">
        <v>434.68</v>
      </c>
      <c r="K534" s="2" t="s">
        <v>21</v>
      </c>
      <c r="L534" s="2"/>
      <c r="M534" s="2">
        <v>4</v>
      </c>
      <c r="N534" s="2" t="s">
        <v>22</v>
      </c>
    </row>
    <row r="535" spans="1:14" x14ac:dyDescent="0.3">
      <c r="A535" s="2" t="s">
        <v>1007</v>
      </c>
      <c r="B535" s="2" t="s">
        <v>460</v>
      </c>
      <c r="C535" s="2" t="s">
        <v>16</v>
      </c>
      <c r="D535" s="2" t="s">
        <v>42</v>
      </c>
      <c r="E535" s="2" t="s">
        <v>47</v>
      </c>
      <c r="F535" s="2" t="s">
        <v>87</v>
      </c>
      <c r="G535" s="2" t="s">
        <v>36</v>
      </c>
      <c r="H535" s="2">
        <v>1880.75</v>
      </c>
      <c r="I535" s="2">
        <v>1484.29</v>
      </c>
      <c r="J535" s="2">
        <v>396.46</v>
      </c>
      <c r="K535" s="2" t="s">
        <v>21</v>
      </c>
      <c r="L535" s="2"/>
      <c r="M535" s="2">
        <v>5</v>
      </c>
      <c r="N535" s="2" t="s">
        <v>22</v>
      </c>
    </row>
    <row r="536" spans="1:14" x14ac:dyDescent="0.3">
      <c r="A536" s="2" t="s">
        <v>1008</v>
      </c>
      <c r="B536" s="2" t="s">
        <v>936</v>
      </c>
      <c r="C536" s="2" t="s">
        <v>76</v>
      </c>
      <c r="D536" s="2" t="s">
        <v>33</v>
      </c>
      <c r="E536" s="2" t="s">
        <v>39</v>
      </c>
      <c r="F536" s="2" t="s">
        <v>19</v>
      </c>
      <c r="G536" s="2" t="s">
        <v>36</v>
      </c>
      <c r="H536" s="2">
        <v>334.46</v>
      </c>
      <c r="I536" s="2">
        <v>213.14</v>
      </c>
      <c r="J536" s="2">
        <v>121.32</v>
      </c>
      <c r="K536" s="2" t="s">
        <v>21</v>
      </c>
      <c r="L536" s="2"/>
      <c r="M536" s="2">
        <v>5</v>
      </c>
      <c r="N536" s="2" t="s">
        <v>22</v>
      </c>
    </row>
    <row r="537" spans="1:14" x14ac:dyDescent="0.3">
      <c r="A537" s="2" t="s">
        <v>1009</v>
      </c>
      <c r="B537" s="2" t="s">
        <v>1010</v>
      </c>
      <c r="C537" s="2" t="s">
        <v>635</v>
      </c>
      <c r="D537" s="2" t="s">
        <v>42</v>
      </c>
      <c r="E537" s="2" t="s">
        <v>77</v>
      </c>
      <c r="F537" s="2" t="s">
        <v>19</v>
      </c>
      <c r="G537" s="2" t="s">
        <v>36</v>
      </c>
      <c r="H537" s="2">
        <v>2651.25</v>
      </c>
      <c r="I537" s="2">
        <v>2083.77</v>
      </c>
      <c r="J537" s="2">
        <v>567.48</v>
      </c>
      <c r="K537" s="2" t="s">
        <v>56</v>
      </c>
      <c r="L537" s="2">
        <v>8</v>
      </c>
      <c r="M537" s="2">
        <v>3</v>
      </c>
      <c r="N537" s="2" t="s">
        <v>22</v>
      </c>
    </row>
    <row r="538" spans="1:14" x14ac:dyDescent="0.3">
      <c r="A538" s="2" t="s">
        <v>1011</v>
      </c>
      <c r="B538" s="2" t="s">
        <v>413</v>
      </c>
      <c r="C538" s="2" t="s">
        <v>104</v>
      </c>
      <c r="D538" s="2" t="s">
        <v>59</v>
      </c>
      <c r="E538" s="2" t="s">
        <v>155</v>
      </c>
      <c r="F538" s="2" t="s">
        <v>19</v>
      </c>
      <c r="G538" s="2" t="s">
        <v>36</v>
      </c>
      <c r="H538" s="2">
        <v>226.08</v>
      </c>
      <c r="I538" s="2">
        <v>155.9</v>
      </c>
      <c r="J538" s="2">
        <v>70.180000000000007</v>
      </c>
      <c r="K538" s="2" t="s">
        <v>21</v>
      </c>
      <c r="L538" s="2"/>
      <c r="M538" s="2">
        <v>4</v>
      </c>
      <c r="N538" s="2" t="s">
        <v>29</v>
      </c>
    </row>
    <row r="539" spans="1:14" x14ac:dyDescent="0.3">
      <c r="A539" s="2" t="s">
        <v>1012</v>
      </c>
      <c r="B539" s="2" t="s">
        <v>1013</v>
      </c>
      <c r="C539" s="2" t="s">
        <v>179</v>
      </c>
      <c r="D539" s="2" t="s">
        <v>7</v>
      </c>
      <c r="E539" s="2"/>
      <c r="F539" s="2" t="s">
        <v>27</v>
      </c>
      <c r="G539" s="2" t="s">
        <v>28</v>
      </c>
      <c r="H539" s="2">
        <v>3114.04</v>
      </c>
      <c r="I539" s="2">
        <v>2297.29</v>
      </c>
      <c r="J539" s="2">
        <v>816.75</v>
      </c>
      <c r="K539" s="2" t="s">
        <v>56</v>
      </c>
      <c r="L539" s="2">
        <v>8</v>
      </c>
      <c r="M539" s="2">
        <v>1</v>
      </c>
      <c r="N539" s="2" t="s">
        <v>22</v>
      </c>
    </row>
    <row r="540" spans="1:14" x14ac:dyDescent="0.3">
      <c r="A540" s="2" t="s">
        <v>1014</v>
      </c>
      <c r="B540" s="2" t="s">
        <v>975</v>
      </c>
      <c r="C540" s="2" t="s">
        <v>76</v>
      </c>
      <c r="D540" s="2" t="s">
        <v>7</v>
      </c>
      <c r="E540" s="2" t="s">
        <v>65</v>
      </c>
      <c r="F540" s="2" t="s">
        <v>84</v>
      </c>
      <c r="G540" s="2" t="s">
        <v>36</v>
      </c>
      <c r="H540" s="2">
        <v>2081.77</v>
      </c>
      <c r="I540" s="2">
        <v>1440</v>
      </c>
      <c r="J540" s="2">
        <v>641.77</v>
      </c>
      <c r="K540" s="2" t="s">
        <v>21</v>
      </c>
      <c r="L540" s="2"/>
      <c r="M540" s="2">
        <v>5</v>
      </c>
      <c r="N540" s="2" t="s">
        <v>22</v>
      </c>
    </row>
    <row r="541" spans="1:14" x14ac:dyDescent="0.3">
      <c r="A541" s="2" t="s">
        <v>1015</v>
      </c>
      <c r="B541" s="2" t="s">
        <v>335</v>
      </c>
      <c r="C541" s="2" t="s">
        <v>76</v>
      </c>
      <c r="D541" s="2" t="s">
        <v>42</v>
      </c>
      <c r="E541" s="2" t="s">
        <v>83</v>
      </c>
      <c r="F541" s="2" t="s">
        <v>19</v>
      </c>
      <c r="G541" s="2" t="s">
        <v>36</v>
      </c>
      <c r="H541" s="2">
        <v>439.36</v>
      </c>
      <c r="I541" s="2">
        <v>325.61</v>
      </c>
      <c r="J541" s="2">
        <v>113.75</v>
      </c>
      <c r="K541" s="2" t="s">
        <v>21</v>
      </c>
      <c r="L541" s="2"/>
      <c r="M541" s="2">
        <v>4</v>
      </c>
      <c r="N541" s="2" t="s">
        <v>29</v>
      </c>
    </row>
    <row r="542" spans="1:14" x14ac:dyDescent="0.3">
      <c r="A542" s="2" t="s">
        <v>1016</v>
      </c>
      <c r="B542" s="2" t="s">
        <v>1017</v>
      </c>
      <c r="C542" s="2" t="s">
        <v>124</v>
      </c>
      <c r="D542" s="2" t="s">
        <v>7</v>
      </c>
      <c r="E542" s="2" t="s">
        <v>131</v>
      </c>
      <c r="F542" s="2" t="s">
        <v>35</v>
      </c>
      <c r="G542" s="2" t="s">
        <v>44</v>
      </c>
      <c r="H542" s="2">
        <v>915.15</v>
      </c>
      <c r="I542" s="2">
        <v>619.75</v>
      </c>
      <c r="J542" s="2">
        <v>295.39999999999998</v>
      </c>
      <c r="K542" s="2" t="s">
        <v>229</v>
      </c>
      <c r="L542" s="2"/>
      <c r="M542" s="2">
        <v>4</v>
      </c>
      <c r="N542" s="2" t="s">
        <v>22</v>
      </c>
    </row>
    <row r="543" spans="1:14" x14ac:dyDescent="0.3">
      <c r="A543" s="2" t="s">
        <v>1018</v>
      </c>
      <c r="B543" s="2" t="s">
        <v>82</v>
      </c>
      <c r="C543" s="2" t="s">
        <v>54</v>
      </c>
      <c r="D543" s="2" t="s">
        <v>33</v>
      </c>
      <c r="E543" s="2" t="s">
        <v>39</v>
      </c>
      <c r="F543" s="2" t="s">
        <v>27</v>
      </c>
      <c r="G543" s="2" t="s">
        <v>44</v>
      </c>
      <c r="H543" s="2">
        <v>2891.56</v>
      </c>
      <c r="I543" s="2">
        <v>2280.44</v>
      </c>
      <c r="J543" s="2">
        <v>611.12</v>
      </c>
      <c r="K543" s="2" t="s">
        <v>21</v>
      </c>
      <c r="L543" s="2"/>
      <c r="M543" s="2">
        <v>5</v>
      </c>
      <c r="N543" s="2" t="s">
        <v>22</v>
      </c>
    </row>
    <row r="544" spans="1:14" x14ac:dyDescent="0.3">
      <c r="A544" s="2" t="s">
        <v>1019</v>
      </c>
      <c r="B544" s="2" t="s">
        <v>1020</v>
      </c>
      <c r="C544" s="2" t="s">
        <v>54</v>
      </c>
      <c r="D544" s="2" t="s">
        <v>7</v>
      </c>
      <c r="E544" s="2" t="s">
        <v>182</v>
      </c>
      <c r="F544" s="2" t="s">
        <v>27</v>
      </c>
      <c r="G544" s="2" t="s">
        <v>28</v>
      </c>
      <c r="H544" s="2">
        <v>884.59</v>
      </c>
      <c r="I544" s="2">
        <v>699.98</v>
      </c>
      <c r="J544" s="2">
        <v>184.61</v>
      </c>
      <c r="K544" s="2" t="s">
        <v>90</v>
      </c>
      <c r="L544" s="2"/>
      <c r="M544" s="2">
        <v>3</v>
      </c>
      <c r="N544" s="2" t="s">
        <v>22</v>
      </c>
    </row>
    <row r="545" spans="1:14" x14ac:dyDescent="0.3">
      <c r="A545" s="2" t="s">
        <v>1021</v>
      </c>
      <c r="B545" s="2" t="s">
        <v>1022</v>
      </c>
      <c r="C545" s="2" t="s">
        <v>104</v>
      </c>
      <c r="D545" s="2" t="s">
        <v>17</v>
      </c>
      <c r="E545" s="2" t="s">
        <v>226</v>
      </c>
      <c r="F545" s="2" t="s">
        <v>87</v>
      </c>
      <c r="G545" s="2" t="s">
        <v>28</v>
      </c>
      <c r="H545" s="2">
        <v>1351.27</v>
      </c>
      <c r="I545" s="2">
        <v>973.93</v>
      </c>
      <c r="J545" s="2">
        <v>377.34</v>
      </c>
      <c r="K545" s="2" t="s">
        <v>21</v>
      </c>
      <c r="L545" s="2"/>
      <c r="M545" s="2">
        <v>4</v>
      </c>
      <c r="N545" s="2" t="s">
        <v>29</v>
      </c>
    </row>
    <row r="546" spans="1:14" x14ac:dyDescent="0.3">
      <c r="A546" s="2" t="s">
        <v>1023</v>
      </c>
      <c r="B546" s="2" t="s">
        <v>473</v>
      </c>
      <c r="C546" s="2" t="s">
        <v>115</v>
      </c>
      <c r="D546" s="2" t="s">
        <v>17</v>
      </c>
      <c r="E546" s="2" t="s">
        <v>100</v>
      </c>
      <c r="F546" s="2" t="s">
        <v>40</v>
      </c>
      <c r="G546" s="2" t="s">
        <v>36</v>
      </c>
      <c r="H546" s="2">
        <v>394.08</v>
      </c>
      <c r="I546" s="2">
        <v>286.60000000000002</v>
      </c>
      <c r="J546" s="2">
        <v>107.48</v>
      </c>
      <c r="K546" s="2" t="s">
        <v>21</v>
      </c>
      <c r="L546" s="2"/>
      <c r="M546" s="2">
        <v>5</v>
      </c>
      <c r="N546" s="2" t="s">
        <v>29</v>
      </c>
    </row>
    <row r="547" spans="1:14" x14ac:dyDescent="0.3">
      <c r="A547" s="2" t="s">
        <v>1024</v>
      </c>
      <c r="B547" s="2" t="s">
        <v>364</v>
      </c>
      <c r="C547" s="2" t="s">
        <v>179</v>
      </c>
      <c r="D547" s="2" t="s">
        <v>7</v>
      </c>
      <c r="E547" s="2" t="s">
        <v>134</v>
      </c>
      <c r="F547" s="2" t="s">
        <v>35</v>
      </c>
      <c r="G547" s="2" t="s">
        <v>36</v>
      </c>
      <c r="H547" s="2">
        <v>1755.7</v>
      </c>
      <c r="I547" s="2">
        <v>1218.05</v>
      </c>
      <c r="J547" s="2">
        <v>537.65</v>
      </c>
      <c r="K547" s="2" t="s">
        <v>21</v>
      </c>
      <c r="L547" s="2"/>
      <c r="M547" s="2">
        <v>4</v>
      </c>
      <c r="N547" s="2" t="s">
        <v>29</v>
      </c>
    </row>
    <row r="548" spans="1:14" x14ac:dyDescent="0.3">
      <c r="A548" s="2" t="s">
        <v>1025</v>
      </c>
      <c r="B548" s="2" t="s">
        <v>1026</v>
      </c>
      <c r="C548" s="2" t="s">
        <v>25</v>
      </c>
      <c r="D548" s="2" t="s">
        <v>7</v>
      </c>
      <c r="E548" s="2" t="s">
        <v>69</v>
      </c>
      <c r="F548" s="2" t="s">
        <v>84</v>
      </c>
      <c r="G548" s="2" t="s">
        <v>44</v>
      </c>
      <c r="H548" s="2">
        <v>495.39</v>
      </c>
      <c r="I548" s="2">
        <v>367.35</v>
      </c>
      <c r="J548" s="2">
        <v>128.04</v>
      </c>
      <c r="K548" s="2" t="s">
        <v>56</v>
      </c>
      <c r="L548" s="2">
        <v>4</v>
      </c>
      <c r="M548" s="2">
        <v>2</v>
      </c>
      <c r="N548" s="2" t="s">
        <v>22</v>
      </c>
    </row>
    <row r="549" spans="1:14" x14ac:dyDescent="0.3">
      <c r="A549" s="2" t="s">
        <v>1027</v>
      </c>
      <c r="B549" s="2" t="s">
        <v>1028</v>
      </c>
      <c r="C549" s="2" t="s">
        <v>68</v>
      </c>
      <c r="D549" s="2" t="s">
        <v>7</v>
      </c>
      <c r="E549" s="2" t="s">
        <v>69</v>
      </c>
      <c r="F549" s="2" t="s">
        <v>87</v>
      </c>
      <c r="G549" s="2" t="s">
        <v>44</v>
      </c>
      <c r="H549" s="2">
        <v>3215.28</v>
      </c>
      <c r="I549" s="2">
        <v>2048.21</v>
      </c>
      <c r="J549" s="2">
        <v>1167.07</v>
      </c>
      <c r="K549" s="2" t="s">
        <v>21</v>
      </c>
      <c r="L549" s="2"/>
      <c r="M549" s="2">
        <v>4</v>
      </c>
      <c r="N549" s="2" t="s">
        <v>22</v>
      </c>
    </row>
    <row r="550" spans="1:14" x14ac:dyDescent="0.3">
      <c r="A550" s="2" t="s">
        <v>1029</v>
      </c>
      <c r="B550" s="2" t="s">
        <v>1030</v>
      </c>
      <c r="C550" s="2" t="s">
        <v>179</v>
      </c>
      <c r="D550" s="2" t="s">
        <v>59</v>
      </c>
      <c r="E550" s="2" t="s">
        <v>60</v>
      </c>
      <c r="F550" s="2" t="s">
        <v>40</v>
      </c>
      <c r="G550" s="2" t="s">
        <v>73</v>
      </c>
      <c r="H550" s="2">
        <v>865.9</v>
      </c>
      <c r="I550" s="2">
        <v>578.67999999999995</v>
      </c>
      <c r="J550" s="2">
        <v>287.22000000000003</v>
      </c>
      <c r="K550" s="2" t="s">
        <v>21</v>
      </c>
      <c r="L550" s="2"/>
      <c r="M550" s="2">
        <v>5</v>
      </c>
      <c r="N550" s="2" t="s">
        <v>22</v>
      </c>
    </row>
    <row r="551" spans="1:14" x14ac:dyDescent="0.3">
      <c r="A551" s="2" t="s">
        <v>1031</v>
      </c>
      <c r="B551" s="2" t="s">
        <v>31</v>
      </c>
      <c r="C551" s="2" t="s">
        <v>32</v>
      </c>
      <c r="D551" s="2" t="s">
        <v>7</v>
      </c>
      <c r="E551" s="2"/>
      <c r="F551" s="2" t="s">
        <v>87</v>
      </c>
      <c r="G551" s="2" t="s">
        <v>73</v>
      </c>
      <c r="H551" s="2">
        <v>264.64999999999998</v>
      </c>
      <c r="I551" s="2">
        <v>203.25</v>
      </c>
      <c r="J551" s="2">
        <v>61.4</v>
      </c>
      <c r="K551" s="2" t="s">
        <v>56</v>
      </c>
      <c r="L551" s="2">
        <v>3</v>
      </c>
      <c r="M551" s="2">
        <v>1</v>
      </c>
      <c r="N551" s="2" t="s">
        <v>29</v>
      </c>
    </row>
    <row r="552" spans="1:14" x14ac:dyDescent="0.3">
      <c r="A552" s="2" t="s">
        <v>1032</v>
      </c>
      <c r="B552" s="2" t="s">
        <v>503</v>
      </c>
      <c r="C552" s="2" t="s">
        <v>76</v>
      </c>
      <c r="D552" s="2" t="s">
        <v>7</v>
      </c>
      <c r="E552" s="2" t="s">
        <v>182</v>
      </c>
      <c r="F552" s="2" t="s">
        <v>862</v>
      </c>
      <c r="G552" s="2" t="s">
        <v>44</v>
      </c>
      <c r="H552" s="2">
        <v>3172.58</v>
      </c>
      <c r="I552" s="2">
        <v>1977.62</v>
      </c>
      <c r="J552" s="2">
        <v>1194.96</v>
      </c>
      <c r="K552" s="2" t="s">
        <v>56</v>
      </c>
      <c r="L552" s="2">
        <v>7</v>
      </c>
      <c r="M552" s="2">
        <v>1</v>
      </c>
      <c r="N552" s="2" t="s">
        <v>29</v>
      </c>
    </row>
    <row r="553" spans="1:14" x14ac:dyDescent="0.3">
      <c r="A553" s="2" t="s">
        <v>1033</v>
      </c>
      <c r="B553" s="2" t="s">
        <v>458</v>
      </c>
      <c r="C553" s="2" t="s">
        <v>25</v>
      </c>
      <c r="D553" s="2" t="s">
        <v>42</v>
      </c>
      <c r="E553" s="2" t="s">
        <v>83</v>
      </c>
      <c r="F553" s="2" t="s">
        <v>27</v>
      </c>
      <c r="G553" s="2" t="s">
        <v>28</v>
      </c>
      <c r="H553" s="2">
        <v>3342.57</v>
      </c>
      <c r="I553" s="2">
        <v>2679.26</v>
      </c>
      <c r="J553" s="2">
        <v>663.31</v>
      </c>
      <c r="K553" s="2" t="s">
        <v>21</v>
      </c>
      <c r="L553" s="2"/>
      <c r="M553" s="2">
        <v>5</v>
      </c>
      <c r="N553" s="2" t="s">
        <v>22</v>
      </c>
    </row>
    <row r="554" spans="1:14" x14ac:dyDescent="0.3">
      <c r="A554" s="2" t="s">
        <v>1034</v>
      </c>
      <c r="B554" s="2" t="s">
        <v>948</v>
      </c>
      <c r="C554" s="2" t="s">
        <v>115</v>
      </c>
      <c r="D554" s="2" t="s">
        <v>42</v>
      </c>
      <c r="E554" s="2" t="s">
        <v>43</v>
      </c>
      <c r="F554" s="2" t="s">
        <v>35</v>
      </c>
      <c r="G554" s="2" t="s">
        <v>20</v>
      </c>
      <c r="H554" s="2">
        <v>1196</v>
      </c>
      <c r="I554" s="2">
        <v>999.98</v>
      </c>
      <c r="J554" s="2">
        <v>196.02</v>
      </c>
      <c r="K554" s="2" t="s">
        <v>21</v>
      </c>
      <c r="L554" s="2"/>
      <c r="M554" s="2">
        <v>5</v>
      </c>
      <c r="N554" s="2" t="s">
        <v>22</v>
      </c>
    </row>
    <row r="555" spans="1:14" x14ac:dyDescent="0.3">
      <c r="A555" s="2" t="s">
        <v>1035</v>
      </c>
      <c r="B555" s="2" t="s">
        <v>943</v>
      </c>
      <c r="C555" s="2" t="s">
        <v>76</v>
      </c>
      <c r="D555" s="2" t="s">
        <v>33</v>
      </c>
      <c r="E555" s="2" t="s">
        <v>119</v>
      </c>
      <c r="F555" s="2" t="s">
        <v>592</v>
      </c>
      <c r="G555" s="2" t="s">
        <v>44</v>
      </c>
      <c r="H555" s="2">
        <v>1973.67</v>
      </c>
      <c r="I555" s="2">
        <v>1384.75</v>
      </c>
      <c r="J555" s="2">
        <v>588.91999999999996</v>
      </c>
      <c r="K555" s="2" t="s">
        <v>21</v>
      </c>
      <c r="L555" s="2"/>
      <c r="M555" s="2">
        <v>5</v>
      </c>
      <c r="N555" s="2" t="s">
        <v>22</v>
      </c>
    </row>
    <row r="556" spans="1:14" x14ac:dyDescent="0.3">
      <c r="A556" s="2" t="s">
        <v>1036</v>
      </c>
      <c r="B556" s="2" t="s">
        <v>1037</v>
      </c>
      <c r="C556" s="2" t="s">
        <v>111</v>
      </c>
      <c r="D556" s="2" t="s">
        <v>33</v>
      </c>
      <c r="E556" s="2" t="s">
        <v>205</v>
      </c>
      <c r="F556" s="2" t="s">
        <v>84</v>
      </c>
      <c r="G556" s="2" t="s">
        <v>176</v>
      </c>
      <c r="H556" s="2">
        <v>3882.38</v>
      </c>
      <c r="I556" s="2">
        <v>2207.2199999999998</v>
      </c>
      <c r="J556" s="2">
        <v>1675.16</v>
      </c>
      <c r="K556" s="2" t="s">
        <v>229</v>
      </c>
      <c r="L556" s="2"/>
      <c r="M556" s="2">
        <v>5</v>
      </c>
      <c r="N556" s="2" t="s">
        <v>22</v>
      </c>
    </row>
    <row r="557" spans="1:14" x14ac:dyDescent="0.3">
      <c r="A557" s="2" t="s">
        <v>1038</v>
      </c>
      <c r="B557" s="2" t="s">
        <v>289</v>
      </c>
      <c r="C557" s="2" t="s">
        <v>32</v>
      </c>
      <c r="D557" s="2" t="s">
        <v>59</v>
      </c>
      <c r="E557" s="2" t="s">
        <v>60</v>
      </c>
      <c r="F557" s="2" t="s">
        <v>27</v>
      </c>
      <c r="G557" s="2" t="s">
        <v>44</v>
      </c>
      <c r="H557" s="2">
        <v>342.47</v>
      </c>
      <c r="I557" s="2">
        <v>232.75</v>
      </c>
      <c r="J557" s="2">
        <v>109.72</v>
      </c>
      <c r="K557" s="2" t="s">
        <v>21</v>
      </c>
      <c r="L557" s="2"/>
      <c r="M557" s="2">
        <v>4</v>
      </c>
      <c r="N557" s="2" t="s">
        <v>22</v>
      </c>
    </row>
    <row r="558" spans="1:14" x14ac:dyDescent="0.3">
      <c r="A558" s="2" t="s">
        <v>1039</v>
      </c>
      <c r="B558" s="2" t="s">
        <v>390</v>
      </c>
      <c r="C558" s="2" t="s">
        <v>111</v>
      </c>
      <c r="D558" s="2" t="s">
        <v>59</v>
      </c>
      <c r="E558" s="2" t="s">
        <v>490</v>
      </c>
      <c r="F558" s="2" t="s">
        <v>27</v>
      </c>
      <c r="G558" s="2" t="s">
        <v>36</v>
      </c>
      <c r="H558" s="2">
        <v>4345.66</v>
      </c>
      <c r="I558" s="2">
        <v>2484.0100000000002</v>
      </c>
      <c r="J558" s="2">
        <v>1861.65</v>
      </c>
      <c r="K558" s="2" t="s">
        <v>56</v>
      </c>
      <c r="L558" s="2">
        <v>4</v>
      </c>
      <c r="M558" s="2">
        <v>2</v>
      </c>
      <c r="N558" s="2" t="s">
        <v>22</v>
      </c>
    </row>
    <row r="559" spans="1:14" x14ac:dyDescent="0.3">
      <c r="A559" s="2" t="s">
        <v>1040</v>
      </c>
      <c r="B559" s="2" t="s">
        <v>647</v>
      </c>
      <c r="C559" s="2" t="s">
        <v>32</v>
      </c>
      <c r="D559" s="2" t="s">
        <v>42</v>
      </c>
      <c r="E559" s="2" t="s">
        <v>83</v>
      </c>
      <c r="F559" s="2" t="s">
        <v>87</v>
      </c>
      <c r="G559" s="2" t="s">
        <v>44</v>
      </c>
      <c r="H559" s="2">
        <v>2181.16</v>
      </c>
      <c r="I559" s="2">
        <v>1906.25</v>
      </c>
      <c r="J559" s="2">
        <v>274.91000000000003</v>
      </c>
      <c r="K559" s="2" t="s">
        <v>21</v>
      </c>
      <c r="L559" s="2"/>
      <c r="M559" s="2">
        <v>5</v>
      </c>
      <c r="N559" s="2" t="s">
        <v>29</v>
      </c>
    </row>
    <row r="560" spans="1:14" x14ac:dyDescent="0.3">
      <c r="A560" s="2" t="s">
        <v>1041</v>
      </c>
      <c r="B560" s="2" t="s">
        <v>1042</v>
      </c>
      <c r="C560" s="2" t="s">
        <v>32</v>
      </c>
      <c r="D560" s="2" t="s">
        <v>17</v>
      </c>
      <c r="E560" s="2" t="s">
        <v>96</v>
      </c>
      <c r="F560" s="2" t="s">
        <v>87</v>
      </c>
      <c r="G560" s="2" t="s">
        <v>36</v>
      </c>
      <c r="H560" s="2">
        <v>3475.72</v>
      </c>
      <c r="I560" s="2">
        <v>2531.62</v>
      </c>
      <c r="J560" s="2">
        <v>944.1</v>
      </c>
      <c r="K560" s="2" t="s">
        <v>21</v>
      </c>
      <c r="L560" s="2"/>
      <c r="M560" s="2"/>
      <c r="N560" s="2" t="s">
        <v>22</v>
      </c>
    </row>
    <row r="561" spans="1:14" x14ac:dyDescent="0.3">
      <c r="A561" s="2" t="s">
        <v>1043</v>
      </c>
      <c r="B561" s="2" t="s">
        <v>1044</v>
      </c>
      <c r="C561" s="2" t="s">
        <v>16</v>
      </c>
      <c r="D561" s="2" t="s">
        <v>17</v>
      </c>
      <c r="E561" s="2" t="s">
        <v>26</v>
      </c>
      <c r="F561" s="2" t="s">
        <v>19</v>
      </c>
      <c r="G561" s="2" t="s">
        <v>73</v>
      </c>
      <c r="H561" s="2">
        <v>2098.5700000000002</v>
      </c>
      <c r="I561" s="2">
        <v>1577.98</v>
      </c>
      <c r="J561" s="2">
        <v>520.59</v>
      </c>
      <c r="K561" s="2" t="s">
        <v>56</v>
      </c>
      <c r="L561" s="2">
        <v>7</v>
      </c>
      <c r="M561" s="2">
        <v>2</v>
      </c>
      <c r="N561" s="2" t="s">
        <v>22</v>
      </c>
    </row>
    <row r="562" spans="1:14" x14ac:dyDescent="0.3">
      <c r="A562" s="2" t="s">
        <v>1045</v>
      </c>
      <c r="B562" s="2" t="s">
        <v>940</v>
      </c>
      <c r="C562" s="2" t="s">
        <v>25</v>
      </c>
      <c r="D562" s="2" t="s">
        <v>59</v>
      </c>
      <c r="E562" s="2" t="s">
        <v>301</v>
      </c>
      <c r="F562" s="2" t="s">
        <v>40</v>
      </c>
      <c r="G562" s="2" t="s">
        <v>44</v>
      </c>
      <c r="H562" s="2">
        <v>672.27</v>
      </c>
      <c r="I562" s="2">
        <v>468.06</v>
      </c>
      <c r="J562" s="2">
        <v>204.21</v>
      </c>
      <c r="K562" s="2" t="s">
        <v>21</v>
      </c>
      <c r="L562" s="2"/>
      <c r="M562" s="2">
        <v>5</v>
      </c>
      <c r="N562" s="2" t="s">
        <v>22</v>
      </c>
    </row>
    <row r="563" spans="1:14" x14ac:dyDescent="0.3">
      <c r="A563" s="2" t="s">
        <v>1046</v>
      </c>
      <c r="B563" s="2" t="s">
        <v>541</v>
      </c>
      <c r="C563" s="2" t="s">
        <v>16</v>
      </c>
      <c r="D563" s="2" t="s">
        <v>7</v>
      </c>
      <c r="E563" s="2" t="s">
        <v>185</v>
      </c>
      <c r="F563" s="2" t="s">
        <v>27</v>
      </c>
      <c r="G563" s="2" t="s">
        <v>36</v>
      </c>
      <c r="H563" s="2">
        <v>2028.97</v>
      </c>
      <c r="I563" s="2">
        <v>1622.22</v>
      </c>
      <c r="J563" s="2">
        <v>406.75</v>
      </c>
      <c r="K563" s="2" t="s">
        <v>21</v>
      </c>
      <c r="L563" s="2"/>
      <c r="M563" s="2">
        <v>3</v>
      </c>
      <c r="N563" s="2" t="s">
        <v>22</v>
      </c>
    </row>
    <row r="564" spans="1:14" x14ac:dyDescent="0.3">
      <c r="A564" s="2" t="s">
        <v>1047</v>
      </c>
      <c r="B564" s="2" t="s">
        <v>1048</v>
      </c>
      <c r="C564" s="2" t="s">
        <v>111</v>
      </c>
      <c r="D564" s="2" t="s">
        <v>42</v>
      </c>
      <c r="E564" s="2" t="s">
        <v>162</v>
      </c>
      <c r="F564" s="2" t="s">
        <v>87</v>
      </c>
      <c r="G564" s="2" t="s">
        <v>36</v>
      </c>
      <c r="H564" s="2">
        <v>1906.04</v>
      </c>
      <c r="I564" s="2">
        <v>1572.09</v>
      </c>
      <c r="J564" s="2">
        <v>333.95</v>
      </c>
      <c r="K564" s="2" t="s">
        <v>21</v>
      </c>
      <c r="L564" s="2"/>
      <c r="M564" s="2">
        <v>4</v>
      </c>
      <c r="N564" s="2" t="s">
        <v>22</v>
      </c>
    </row>
    <row r="565" spans="1:14" x14ac:dyDescent="0.3">
      <c r="A565" s="2" t="s">
        <v>1049</v>
      </c>
      <c r="B565" s="2" t="s">
        <v>198</v>
      </c>
      <c r="C565" s="2" t="s">
        <v>76</v>
      </c>
      <c r="D565" s="2" t="s">
        <v>59</v>
      </c>
      <c r="E565" s="2" t="s">
        <v>108</v>
      </c>
      <c r="F565" s="2" t="s">
        <v>27</v>
      </c>
      <c r="G565" s="2" t="s">
        <v>36</v>
      </c>
      <c r="H565" s="2">
        <v>3231.65</v>
      </c>
      <c r="I565" s="2">
        <v>2275.14</v>
      </c>
      <c r="J565" s="2">
        <v>956.51</v>
      </c>
      <c r="K565" s="2" t="s">
        <v>21</v>
      </c>
      <c r="L565" s="2"/>
      <c r="M565" s="2">
        <v>3</v>
      </c>
      <c r="N565" s="2" t="s">
        <v>22</v>
      </c>
    </row>
    <row r="566" spans="1:14" x14ac:dyDescent="0.3">
      <c r="A566" s="2" t="s">
        <v>1050</v>
      </c>
      <c r="B566" s="2" t="s">
        <v>38</v>
      </c>
      <c r="C566" s="2" t="s">
        <v>16</v>
      </c>
      <c r="D566" s="2" t="s">
        <v>59</v>
      </c>
      <c r="E566" s="2" t="s">
        <v>301</v>
      </c>
      <c r="F566" s="2" t="s">
        <v>87</v>
      </c>
      <c r="G566" s="2" t="s">
        <v>36</v>
      </c>
      <c r="H566" s="2">
        <v>3155.91</v>
      </c>
      <c r="I566" s="2">
        <v>2145.83</v>
      </c>
      <c r="J566" s="2">
        <v>1010.08</v>
      </c>
      <c r="K566" s="2" t="s">
        <v>21</v>
      </c>
      <c r="L566" s="2"/>
      <c r="M566" s="2">
        <v>4</v>
      </c>
      <c r="N566" s="2" t="s">
        <v>22</v>
      </c>
    </row>
    <row r="567" spans="1:14" x14ac:dyDescent="0.3">
      <c r="A567" s="2" t="s">
        <v>488</v>
      </c>
      <c r="B567" s="2" t="s">
        <v>489</v>
      </c>
      <c r="C567" s="2" t="s">
        <v>64</v>
      </c>
      <c r="D567" s="2" t="s">
        <v>59</v>
      </c>
      <c r="E567" s="2" t="s">
        <v>490</v>
      </c>
      <c r="F567" s="2" t="s">
        <v>40</v>
      </c>
      <c r="G567" s="2" t="s">
        <v>44</v>
      </c>
      <c r="H567" s="2">
        <v>167.28</v>
      </c>
      <c r="I567" s="2">
        <v>100.14</v>
      </c>
      <c r="J567" s="2">
        <v>67.14</v>
      </c>
      <c r="K567" s="2" t="s">
        <v>21</v>
      </c>
      <c r="L567" s="2"/>
      <c r="M567" s="2">
        <v>5</v>
      </c>
      <c r="N567" s="2" t="s">
        <v>22</v>
      </c>
    </row>
    <row r="568" spans="1:14" x14ac:dyDescent="0.3">
      <c r="A568" s="2" t="s">
        <v>1051</v>
      </c>
      <c r="B568" s="2" t="s">
        <v>1048</v>
      </c>
      <c r="C568" s="2" t="s">
        <v>111</v>
      </c>
      <c r="D568" s="2" t="s">
        <v>33</v>
      </c>
      <c r="E568" s="2" t="s">
        <v>171</v>
      </c>
      <c r="F568" s="2" t="s">
        <v>35</v>
      </c>
      <c r="G568" s="2" t="s">
        <v>36</v>
      </c>
      <c r="H568" s="2">
        <v>289.27</v>
      </c>
      <c r="I568" s="2">
        <v>219.11</v>
      </c>
      <c r="J568" s="2">
        <v>70.16</v>
      </c>
      <c r="K568" s="2" t="s">
        <v>21</v>
      </c>
      <c r="L568" s="2"/>
      <c r="M568" s="2">
        <v>5</v>
      </c>
      <c r="N568" s="2" t="s">
        <v>22</v>
      </c>
    </row>
    <row r="569" spans="1:14" x14ac:dyDescent="0.3">
      <c r="A569" s="2" t="s">
        <v>1052</v>
      </c>
      <c r="B569" s="2" t="s">
        <v>411</v>
      </c>
      <c r="C569" s="2" t="s">
        <v>179</v>
      </c>
      <c r="D569" s="2" t="s">
        <v>33</v>
      </c>
      <c r="E569" s="2" t="s">
        <v>171</v>
      </c>
      <c r="F569" s="2" t="s">
        <v>87</v>
      </c>
      <c r="G569" s="2" t="s">
        <v>36</v>
      </c>
      <c r="H569" s="2">
        <v>3054.1</v>
      </c>
      <c r="I569" s="2">
        <v>1942.25</v>
      </c>
      <c r="J569" s="2">
        <v>1111.8499999999999</v>
      </c>
      <c r="K569" s="2" t="s">
        <v>21</v>
      </c>
      <c r="L569" s="2"/>
      <c r="M569" s="2">
        <v>4</v>
      </c>
      <c r="N569" s="2" t="s">
        <v>22</v>
      </c>
    </row>
    <row r="570" spans="1:14" x14ac:dyDescent="0.3">
      <c r="A570" s="2" t="s">
        <v>1053</v>
      </c>
      <c r="B570" s="2" t="s">
        <v>1054</v>
      </c>
      <c r="C570" s="2" t="s">
        <v>179</v>
      </c>
      <c r="D570" s="2" t="s">
        <v>59</v>
      </c>
      <c r="E570" s="2" t="s">
        <v>60</v>
      </c>
      <c r="F570" s="2" t="s">
        <v>27</v>
      </c>
      <c r="G570" s="2" t="s">
        <v>36</v>
      </c>
      <c r="H570" s="2">
        <v>2548.44</v>
      </c>
      <c r="I570" s="2">
        <v>1804.13</v>
      </c>
      <c r="J570" s="2">
        <v>744.31</v>
      </c>
      <c r="K570" s="2" t="s">
        <v>56</v>
      </c>
      <c r="L570" s="2">
        <v>8</v>
      </c>
      <c r="M570" s="2">
        <v>1</v>
      </c>
      <c r="N570" s="2" t="s">
        <v>22</v>
      </c>
    </row>
    <row r="571" spans="1:14" x14ac:dyDescent="0.3">
      <c r="A571" s="2" t="s">
        <v>1055</v>
      </c>
      <c r="B571" s="2" t="s">
        <v>1056</v>
      </c>
      <c r="C571" s="2" t="s">
        <v>54</v>
      </c>
      <c r="D571" s="2" t="s">
        <v>17</v>
      </c>
      <c r="E571" s="2" t="s">
        <v>469</v>
      </c>
      <c r="F571" s="2" t="s">
        <v>87</v>
      </c>
      <c r="G571" s="2" t="s">
        <v>44</v>
      </c>
      <c r="H571" s="2">
        <v>1758.7</v>
      </c>
      <c r="I571" s="2">
        <v>1338.51</v>
      </c>
      <c r="J571" s="2">
        <v>420.19</v>
      </c>
      <c r="K571" s="2" t="s">
        <v>21</v>
      </c>
      <c r="L571" s="2"/>
      <c r="M571" s="2">
        <v>3</v>
      </c>
      <c r="N571" s="2" t="s">
        <v>22</v>
      </c>
    </row>
    <row r="572" spans="1:14" x14ac:dyDescent="0.3">
      <c r="A572" s="2" t="s">
        <v>1057</v>
      </c>
      <c r="B572" s="2" t="s">
        <v>591</v>
      </c>
      <c r="C572" s="2" t="s">
        <v>111</v>
      </c>
      <c r="D572" s="2" t="s">
        <v>7</v>
      </c>
      <c r="E572" s="2" t="s">
        <v>185</v>
      </c>
      <c r="F572" s="2" t="s">
        <v>35</v>
      </c>
      <c r="G572" s="2" t="s">
        <v>36</v>
      </c>
      <c r="H572" s="2">
        <v>2178.6999999999998</v>
      </c>
      <c r="I572" s="2">
        <v>1241.22</v>
      </c>
      <c r="J572" s="2">
        <v>937.48</v>
      </c>
      <c r="K572" s="2" t="s">
        <v>21</v>
      </c>
      <c r="L572" s="2"/>
      <c r="M572" s="2">
        <v>5</v>
      </c>
      <c r="N572" s="2" t="s">
        <v>22</v>
      </c>
    </row>
    <row r="573" spans="1:14" x14ac:dyDescent="0.3">
      <c r="A573" s="2" t="s">
        <v>1058</v>
      </c>
      <c r="B573" s="2" t="s">
        <v>1059</v>
      </c>
      <c r="C573" s="2" t="s">
        <v>64</v>
      </c>
      <c r="D573" s="2" t="s">
        <v>17</v>
      </c>
      <c r="E573" s="2" t="s">
        <v>26</v>
      </c>
      <c r="F573" s="2" t="s">
        <v>27</v>
      </c>
      <c r="G573" s="2" t="s">
        <v>44</v>
      </c>
      <c r="H573" s="2">
        <v>1826.26</v>
      </c>
      <c r="I573" s="2">
        <v>1058</v>
      </c>
      <c r="J573" s="2">
        <v>768.26</v>
      </c>
      <c r="K573" s="2" t="s">
        <v>21</v>
      </c>
      <c r="L573" s="2"/>
      <c r="M573" s="2">
        <v>4</v>
      </c>
      <c r="N573" s="2" t="s">
        <v>22</v>
      </c>
    </row>
    <row r="574" spans="1:14" x14ac:dyDescent="0.3">
      <c r="A574" s="2" t="s">
        <v>1060</v>
      </c>
      <c r="B574" s="2" t="s">
        <v>1061</v>
      </c>
      <c r="C574" s="2" t="s">
        <v>32</v>
      </c>
      <c r="D574" s="2" t="s">
        <v>42</v>
      </c>
      <c r="E574" s="2"/>
      <c r="F574" s="2" t="s">
        <v>87</v>
      </c>
      <c r="G574" s="2" t="s">
        <v>36</v>
      </c>
      <c r="H574" s="2">
        <v>3338.35</v>
      </c>
      <c r="I574" s="2">
        <v>2671.32</v>
      </c>
      <c r="J574" s="2">
        <v>667.03</v>
      </c>
      <c r="K574" s="2" t="s">
        <v>21</v>
      </c>
      <c r="L574" s="2"/>
      <c r="M574" s="2">
        <v>4</v>
      </c>
      <c r="N574" s="2" t="s">
        <v>29</v>
      </c>
    </row>
    <row r="575" spans="1:14" x14ac:dyDescent="0.3">
      <c r="A575" s="2" t="s">
        <v>1062</v>
      </c>
      <c r="B575" s="2" t="s">
        <v>770</v>
      </c>
      <c r="C575" s="2" t="s">
        <v>68</v>
      </c>
      <c r="D575" s="2" t="s">
        <v>59</v>
      </c>
      <c r="E575" s="2" t="s">
        <v>155</v>
      </c>
      <c r="F575" s="2" t="s">
        <v>19</v>
      </c>
      <c r="G575" s="2" t="s">
        <v>73</v>
      </c>
      <c r="H575" s="2">
        <v>1074.3499999999999</v>
      </c>
      <c r="I575" s="2">
        <v>754.05</v>
      </c>
      <c r="J575" s="2">
        <v>320.3</v>
      </c>
      <c r="K575" s="2" t="s">
        <v>101</v>
      </c>
      <c r="L575" s="2">
        <v>2</v>
      </c>
      <c r="M575" s="2">
        <v>2</v>
      </c>
      <c r="N575" s="2" t="s">
        <v>29</v>
      </c>
    </row>
    <row r="576" spans="1:14" x14ac:dyDescent="0.3">
      <c r="A576" s="2" t="s">
        <v>1063</v>
      </c>
      <c r="B576" s="2" t="s">
        <v>144</v>
      </c>
      <c r="C576" s="2" t="s">
        <v>68</v>
      </c>
      <c r="D576" s="2" t="s">
        <v>33</v>
      </c>
      <c r="E576" s="2" t="s">
        <v>171</v>
      </c>
      <c r="F576" s="2" t="s">
        <v>27</v>
      </c>
      <c r="G576" s="2" t="s">
        <v>36</v>
      </c>
      <c r="H576" s="2">
        <v>1783.28</v>
      </c>
      <c r="I576" s="2">
        <v>1137.6300000000001</v>
      </c>
      <c r="J576" s="2">
        <v>645.65</v>
      </c>
      <c r="K576" s="2" t="s">
        <v>21</v>
      </c>
      <c r="L576" s="2"/>
      <c r="M576" s="2">
        <v>4</v>
      </c>
      <c r="N576" s="2" t="s">
        <v>22</v>
      </c>
    </row>
    <row r="577" spans="1:14" x14ac:dyDescent="0.3">
      <c r="A577" s="2" t="s">
        <v>1064</v>
      </c>
      <c r="B577" s="2" t="s">
        <v>259</v>
      </c>
      <c r="C577" s="2" t="s">
        <v>68</v>
      </c>
      <c r="D577" s="2" t="s">
        <v>17</v>
      </c>
      <c r="E577" s="2" t="s">
        <v>100</v>
      </c>
      <c r="F577" s="2" t="s">
        <v>87</v>
      </c>
      <c r="G577" s="2" t="s">
        <v>28</v>
      </c>
      <c r="H577" s="2">
        <v>3313.54</v>
      </c>
      <c r="I577" s="2">
        <v>1948.23</v>
      </c>
      <c r="J577" s="2">
        <v>1365.31</v>
      </c>
      <c r="K577" s="2" t="s">
        <v>56</v>
      </c>
      <c r="L577" s="2">
        <v>6</v>
      </c>
      <c r="M577" s="2">
        <v>1</v>
      </c>
      <c r="N577" s="2" t="s">
        <v>29</v>
      </c>
    </row>
    <row r="578" spans="1:14" x14ac:dyDescent="0.3">
      <c r="A578" s="2" t="s">
        <v>1065</v>
      </c>
      <c r="B578" s="2" t="s">
        <v>1066</v>
      </c>
      <c r="C578" s="2" t="s">
        <v>104</v>
      </c>
      <c r="D578" s="2" t="s">
        <v>7</v>
      </c>
      <c r="E578" s="2" t="s">
        <v>55</v>
      </c>
      <c r="F578" s="2" t="s">
        <v>27</v>
      </c>
      <c r="G578" s="2" t="s">
        <v>44</v>
      </c>
      <c r="H578" s="2">
        <v>3353.47</v>
      </c>
      <c r="I578" s="2">
        <v>2640.5</v>
      </c>
      <c r="J578" s="2">
        <v>712.97</v>
      </c>
      <c r="K578" s="2" t="s">
        <v>56</v>
      </c>
      <c r="L578" s="2">
        <v>8</v>
      </c>
      <c r="M578" s="2">
        <v>4</v>
      </c>
      <c r="N578" s="2" t="s">
        <v>22</v>
      </c>
    </row>
    <row r="579" spans="1:14" x14ac:dyDescent="0.3">
      <c r="A579" s="2" t="s">
        <v>1067</v>
      </c>
      <c r="B579" s="2" t="s">
        <v>159</v>
      </c>
      <c r="C579" s="2" t="s">
        <v>54</v>
      </c>
      <c r="D579" s="2" t="s">
        <v>33</v>
      </c>
      <c r="E579" s="2" t="s">
        <v>119</v>
      </c>
      <c r="F579" s="2" t="s">
        <v>19</v>
      </c>
      <c r="G579" s="2" t="s">
        <v>176</v>
      </c>
      <c r="H579" s="2">
        <v>3136.18</v>
      </c>
      <c r="I579" s="2">
        <v>2291.79</v>
      </c>
      <c r="J579" s="2">
        <v>844.39</v>
      </c>
      <c r="K579" s="2" t="s">
        <v>56</v>
      </c>
      <c r="L579" s="2">
        <v>7</v>
      </c>
      <c r="M579" s="2">
        <v>2</v>
      </c>
      <c r="N579" s="2" t="s">
        <v>22</v>
      </c>
    </row>
    <row r="580" spans="1:14" x14ac:dyDescent="0.3">
      <c r="A580" s="2" t="s">
        <v>1068</v>
      </c>
      <c r="B580" s="2" t="s">
        <v>731</v>
      </c>
      <c r="C580" s="2" t="s">
        <v>16</v>
      </c>
      <c r="D580" s="2" t="s">
        <v>59</v>
      </c>
      <c r="E580" s="2" t="s">
        <v>108</v>
      </c>
      <c r="F580" s="2" t="s">
        <v>35</v>
      </c>
      <c r="G580" s="2" t="s">
        <v>36</v>
      </c>
      <c r="H580" s="2">
        <v>2803.42</v>
      </c>
      <c r="I580" s="2">
        <v>1707.8</v>
      </c>
      <c r="J580" s="2">
        <v>1095.6199999999999</v>
      </c>
      <c r="K580" s="2" t="s">
        <v>56</v>
      </c>
      <c r="L580" s="2">
        <v>10</v>
      </c>
      <c r="M580" s="2">
        <v>4</v>
      </c>
      <c r="N580" s="2" t="s">
        <v>22</v>
      </c>
    </row>
    <row r="581" spans="1:14" x14ac:dyDescent="0.3">
      <c r="A581" s="2" t="s">
        <v>1069</v>
      </c>
      <c r="B581" s="2" t="s">
        <v>1070</v>
      </c>
      <c r="C581" s="2" t="s">
        <v>68</v>
      </c>
      <c r="D581" s="2" t="s">
        <v>59</v>
      </c>
      <c r="E581" s="2" t="s">
        <v>301</v>
      </c>
      <c r="F581" s="2" t="s">
        <v>87</v>
      </c>
      <c r="G581" s="2" t="s">
        <v>36</v>
      </c>
      <c r="H581" s="2">
        <v>1332.83</v>
      </c>
      <c r="I581" s="2">
        <v>733.09</v>
      </c>
      <c r="J581" s="2">
        <v>599.74</v>
      </c>
      <c r="K581" s="2" t="s">
        <v>21</v>
      </c>
      <c r="L581" s="2"/>
      <c r="M581" s="2">
        <v>4</v>
      </c>
      <c r="N581" s="2" t="s">
        <v>29</v>
      </c>
    </row>
    <row r="582" spans="1:14" x14ac:dyDescent="0.3">
      <c r="A582" s="2" t="s">
        <v>1063</v>
      </c>
      <c r="B582" s="2" t="s">
        <v>144</v>
      </c>
      <c r="C582" s="2" t="s">
        <v>68</v>
      </c>
      <c r="D582" s="2" t="s">
        <v>33</v>
      </c>
      <c r="E582" s="2" t="s">
        <v>171</v>
      </c>
      <c r="F582" s="2" t="s">
        <v>27</v>
      </c>
      <c r="G582" s="2" t="s">
        <v>36</v>
      </c>
      <c r="H582" s="2">
        <v>1783.28</v>
      </c>
      <c r="I582" s="2">
        <v>1137.6300000000001</v>
      </c>
      <c r="J582" s="2">
        <v>645.65</v>
      </c>
      <c r="K582" s="2" t="s">
        <v>21</v>
      </c>
      <c r="L582" s="2"/>
      <c r="M582" s="2">
        <v>4</v>
      </c>
      <c r="N582" s="2" t="s">
        <v>22</v>
      </c>
    </row>
    <row r="583" spans="1:14" x14ac:dyDescent="0.3">
      <c r="A583" s="2" t="s">
        <v>1071</v>
      </c>
      <c r="B583" s="2" t="s">
        <v>1072</v>
      </c>
      <c r="C583" s="2" t="s">
        <v>68</v>
      </c>
      <c r="D583" s="2" t="s">
        <v>42</v>
      </c>
      <c r="E583" s="2"/>
      <c r="F583" s="2" t="s">
        <v>84</v>
      </c>
      <c r="G583" s="2" t="s">
        <v>28</v>
      </c>
      <c r="H583" s="2">
        <v>3403.3</v>
      </c>
      <c r="I583" s="2">
        <v>2553.71</v>
      </c>
      <c r="J583" s="2">
        <v>849.59</v>
      </c>
      <c r="K583" s="2" t="s">
        <v>21</v>
      </c>
      <c r="L583" s="2"/>
      <c r="M583" s="2">
        <v>4</v>
      </c>
      <c r="N583" s="2" t="s">
        <v>22</v>
      </c>
    </row>
    <row r="584" spans="1:14" x14ac:dyDescent="0.3">
      <c r="A584" s="2" t="s">
        <v>1073</v>
      </c>
      <c r="B584" s="2" t="s">
        <v>1074</v>
      </c>
      <c r="C584" s="2" t="s">
        <v>16</v>
      </c>
      <c r="D584" s="2" t="s">
        <v>7</v>
      </c>
      <c r="E584" s="2" t="s">
        <v>128</v>
      </c>
      <c r="F584" s="2" t="s">
        <v>27</v>
      </c>
      <c r="G584" s="2" t="s">
        <v>28</v>
      </c>
      <c r="H584" s="2">
        <v>3194.27</v>
      </c>
      <c r="I584" s="2">
        <v>2085.2800000000002</v>
      </c>
      <c r="J584" s="2">
        <v>1108.99</v>
      </c>
      <c r="K584" s="2" t="s">
        <v>21</v>
      </c>
      <c r="L584" s="2"/>
      <c r="M584" s="2">
        <v>3</v>
      </c>
      <c r="N584" s="2" t="s">
        <v>22</v>
      </c>
    </row>
    <row r="585" spans="1:14" x14ac:dyDescent="0.3">
      <c r="A585" s="2" t="s">
        <v>1075</v>
      </c>
      <c r="B585" s="2" t="s">
        <v>110</v>
      </c>
      <c r="C585" s="2" t="s">
        <v>111</v>
      </c>
      <c r="D585" s="2" t="s">
        <v>59</v>
      </c>
      <c r="E585" s="2" t="s">
        <v>308</v>
      </c>
      <c r="F585" s="2" t="s">
        <v>84</v>
      </c>
      <c r="G585" s="2" t="s">
        <v>20</v>
      </c>
      <c r="H585" s="2">
        <v>1405.3</v>
      </c>
      <c r="I585" s="2">
        <v>1104.03</v>
      </c>
      <c r="J585" s="2">
        <v>301.27</v>
      </c>
      <c r="K585" s="2" t="s">
        <v>21</v>
      </c>
      <c r="L585" s="2"/>
      <c r="M585" s="2">
        <v>2</v>
      </c>
      <c r="N585" s="2" t="s">
        <v>22</v>
      </c>
    </row>
    <row r="586" spans="1:14" x14ac:dyDescent="0.3">
      <c r="A586" s="2" t="s">
        <v>1076</v>
      </c>
      <c r="B586" s="2" t="s">
        <v>574</v>
      </c>
      <c r="C586" s="2" t="s">
        <v>115</v>
      </c>
      <c r="D586" s="2" t="s">
        <v>59</v>
      </c>
      <c r="E586" s="2" t="s">
        <v>108</v>
      </c>
      <c r="F586" s="2" t="s">
        <v>40</v>
      </c>
      <c r="G586" s="2" t="s">
        <v>44</v>
      </c>
      <c r="H586" s="2">
        <v>2520.48</v>
      </c>
      <c r="I586" s="2">
        <v>1872.08</v>
      </c>
      <c r="J586" s="2">
        <v>648.4</v>
      </c>
      <c r="K586" s="2" t="s">
        <v>21</v>
      </c>
      <c r="L586" s="2"/>
      <c r="M586" s="2">
        <v>5</v>
      </c>
      <c r="N586" s="2" t="s">
        <v>22</v>
      </c>
    </row>
    <row r="587" spans="1:14" x14ac:dyDescent="0.3">
      <c r="A587" s="2" t="s">
        <v>1077</v>
      </c>
      <c r="B587" s="2" t="s">
        <v>988</v>
      </c>
      <c r="C587" s="2" t="s">
        <v>54</v>
      </c>
      <c r="D587" s="2" t="s">
        <v>17</v>
      </c>
      <c r="E587" s="2" t="s">
        <v>96</v>
      </c>
      <c r="F587" s="2" t="s">
        <v>19</v>
      </c>
      <c r="G587" s="2" t="s">
        <v>36</v>
      </c>
      <c r="H587" s="2">
        <v>1770.76</v>
      </c>
      <c r="I587" s="2">
        <v>1226.71</v>
      </c>
      <c r="J587" s="2">
        <v>544.04999999999995</v>
      </c>
      <c r="K587" s="2" t="s">
        <v>21</v>
      </c>
      <c r="L587" s="2"/>
      <c r="M587" s="2">
        <v>5</v>
      </c>
      <c r="N587" s="2" t="s">
        <v>22</v>
      </c>
    </row>
    <row r="588" spans="1:14" x14ac:dyDescent="0.3">
      <c r="A588" s="2" t="s">
        <v>1078</v>
      </c>
      <c r="B588" s="2" t="s">
        <v>796</v>
      </c>
      <c r="C588" s="2" t="s">
        <v>179</v>
      </c>
      <c r="D588" s="2" t="s">
        <v>7</v>
      </c>
      <c r="E588" s="2" t="s">
        <v>185</v>
      </c>
      <c r="F588" s="2" t="s">
        <v>40</v>
      </c>
      <c r="G588" s="2" t="s">
        <v>73</v>
      </c>
      <c r="H588" s="2">
        <v>2823.78</v>
      </c>
      <c r="I588" s="2">
        <v>2064.31</v>
      </c>
      <c r="J588" s="2">
        <v>759.47</v>
      </c>
      <c r="K588" s="2" t="s">
        <v>21</v>
      </c>
      <c r="L588" s="2"/>
      <c r="M588" s="2">
        <v>4</v>
      </c>
      <c r="N588" s="2" t="s">
        <v>22</v>
      </c>
    </row>
    <row r="589" spans="1:14" x14ac:dyDescent="0.3">
      <c r="A589" s="2" t="s">
        <v>1079</v>
      </c>
      <c r="B589" s="2" t="s">
        <v>285</v>
      </c>
      <c r="C589" s="2" t="s">
        <v>76</v>
      </c>
      <c r="D589" s="2" t="s">
        <v>59</v>
      </c>
      <c r="E589" s="2" t="s">
        <v>108</v>
      </c>
      <c r="F589" s="2" t="s">
        <v>27</v>
      </c>
      <c r="G589" s="2" t="s">
        <v>36</v>
      </c>
      <c r="H589" s="2">
        <v>1759.43</v>
      </c>
      <c r="I589" s="2">
        <v>1215.26</v>
      </c>
      <c r="J589" s="2">
        <v>544.16999999999996</v>
      </c>
      <c r="K589" s="2" t="s">
        <v>21</v>
      </c>
      <c r="L589" s="2"/>
      <c r="M589" s="2">
        <v>4</v>
      </c>
      <c r="N589" s="2" t="s">
        <v>22</v>
      </c>
    </row>
    <row r="590" spans="1:14" x14ac:dyDescent="0.3">
      <c r="A590" s="2" t="s">
        <v>1080</v>
      </c>
      <c r="B590" s="2" t="s">
        <v>305</v>
      </c>
      <c r="C590" s="2" t="s">
        <v>111</v>
      </c>
      <c r="D590" s="2" t="s">
        <v>7</v>
      </c>
      <c r="E590" s="2" t="s">
        <v>65</v>
      </c>
      <c r="F590" s="2" t="s">
        <v>35</v>
      </c>
      <c r="G590" s="2" t="s">
        <v>36</v>
      </c>
      <c r="H590" s="2">
        <v>4128.34</v>
      </c>
      <c r="I590" s="2">
        <v>2643.92</v>
      </c>
      <c r="J590" s="2">
        <v>1484.42</v>
      </c>
      <c r="K590" s="2" t="s">
        <v>21</v>
      </c>
      <c r="L590" s="2"/>
      <c r="M590" s="2">
        <v>5</v>
      </c>
      <c r="N590" s="2" t="s">
        <v>29</v>
      </c>
    </row>
    <row r="591" spans="1:14" x14ac:dyDescent="0.3">
      <c r="A591" s="2" t="s">
        <v>1081</v>
      </c>
      <c r="B591" s="2" t="s">
        <v>191</v>
      </c>
      <c r="C591" s="2" t="s">
        <v>32</v>
      </c>
      <c r="D591" s="2" t="s">
        <v>59</v>
      </c>
      <c r="E591" s="2" t="s">
        <v>60</v>
      </c>
      <c r="F591" s="2" t="s">
        <v>87</v>
      </c>
      <c r="G591" s="2" t="s">
        <v>28</v>
      </c>
      <c r="H591" s="2">
        <v>2301.6799999999998</v>
      </c>
      <c r="I591" s="2">
        <v>1821.06</v>
      </c>
      <c r="J591" s="2">
        <v>480.62</v>
      </c>
      <c r="K591" s="2" t="s">
        <v>56</v>
      </c>
      <c r="L591" s="2">
        <v>2</v>
      </c>
      <c r="M591" s="2">
        <v>1</v>
      </c>
      <c r="N591" s="2" t="s">
        <v>22</v>
      </c>
    </row>
    <row r="592" spans="1:14" x14ac:dyDescent="0.3">
      <c r="A592" s="2" t="s">
        <v>1082</v>
      </c>
      <c r="B592" s="2" t="s">
        <v>1083</v>
      </c>
      <c r="C592" s="2" t="s">
        <v>68</v>
      </c>
      <c r="D592" s="2" t="s">
        <v>33</v>
      </c>
      <c r="E592" s="2" t="s">
        <v>39</v>
      </c>
      <c r="F592" s="2" t="s">
        <v>40</v>
      </c>
      <c r="G592" s="2" t="s">
        <v>73</v>
      </c>
      <c r="H592" s="2">
        <v>592.04999999999995</v>
      </c>
      <c r="I592" s="2">
        <v>442.46</v>
      </c>
      <c r="J592" s="2">
        <v>149.59</v>
      </c>
      <c r="K592" s="2" t="s">
        <v>21</v>
      </c>
      <c r="L592" s="2"/>
      <c r="M592" s="2">
        <v>4</v>
      </c>
      <c r="N592" s="2" t="s">
        <v>22</v>
      </c>
    </row>
    <row r="593" spans="1:14" x14ac:dyDescent="0.3">
      <c r="A593" s="2" t="s">
        <v>1084</v>
      </c>
      <c r="B593" s="2" t="s">
        <v>1085</v>
      </c>
      <c r="C593" s="2" t="s">
        <v>111</v>
      </c>
      <c r="D593" s="2" t="s">
        <v>7</v>
      </c>
      <c r="E593" s="2" t="s">
        <v>185</v>
      </c>
      <c r="F593" s="2" t="s">
        <v>40</v>
      </c>
      <c r="G593" s="2" t="s">
        <v>28</v>
      </c>
      <c r="H593" s="2">
        <v>3256.22</v>
      </c>
      <c r="I593" s="2">
        <v>1872.08</v>
      </c>
      <c r="J593" s="2">
        <v>1384.14</v>
      </c>
      <c r="K593" s="2" t="s">
        <v>21</v>
      </c>
      <c r="L593" s="2"/>
      <c r="M593" s="2">
        <v>5</v>
      </c>
      <c r="N593" s="2" t="s">
        <v>22</v>
      </c>
    </row>
    <row r="594" spans="1:14" x14ac:dyDescent="0.3">
      <c r="A594" s="2" t="s">
        <v>1086</v>
      </c>
      <c r="B594" s="2" t="s">
        <v>685</v>
      </c>
      <c r="C594" s="2" t="s">
        <v>32</v>
      </c>
      <c r="D594" s="2" t="s">
        <v>7</v>
      </c>
      <c r="E594" s="2" t="s">
        <v>131</v>
      </c>
      <c r="F594" s="2" t="s">
        <v>87</v>
      </c>
      <c r="G594" s="2" t="s">
        <v>44</v>
      </c>
      <c r="H594" s="2">
        <v>2465.21</v>
      </c>
      <c r="I594" s="2">
        <v>1366.99</v>
      </c>
      <c r="J594" s="2">
        <v>1098.22</v>
      </c>
      <c r="K594" s="2" t="s">
        <v>21</v>
      </c>
      <c r="L594" s="2"/>
      <c r="M594" s="2">
        <v>4</v>
      </c>
      <c r="N594" s="2" t="s">
        <v>29</v>
      </c>
    </row>
    <row r="595" spans="1:14" x14ac:dyDescent="0.3">
      <c r="A595" s="2" t="s">
        <v>1087</v>
      </c>
      <c r="B595" s="2" t="s">
        <v>1088</v>
      </c>
      <c r="C595" s="2" t="s">
        <v>104</v>
      </c>
      <c r="D595" s="2" t="s">
        <v>17</v>
      </c>
      <c r="E595" s="2" t="s">
        <v>226</v>
      </c>
      <c r="F595" s="2" t="s">
        <v>35</v>
      </c>
      <c r="G595" s="2" t="s">
        <v>36</v>
      </c>
      <c r="H595" s="2">
        <v>3354.84</v>
      </c>
      <c r="I595" s="2">
        <v>2251.6799999999998</v>
      </c>
      <c r="J595" s="2">
        <v>1103.1600000000001</v>
      </c>
      <c r="K595" s="2" t="s">
        <v>21</v>
      </c>
      <c r="L595" s="2"/>
      <c r="M595" s="2">
        <v>5</v>
      </c>
      <c r="N595" s="2" t="s">
        <v>22</v>
      </c>
    </row>
    <row r="596" spans="1:14" x14ac:dyDescent="0.3">
      <c r="A596" s="2" t="s">
        <v>1089</v>
      </c>
      <c r="B596" s="2" t="s">
        <v>1090</v>
      </c>
      <c r="C596" s="2" t="s">
        <v>32</v>
      </c>
      <c r="D596" s="2" t="s">
        <v>7</v>
      </c>
      <c r="E596" s="2" t="s">
        <v>69</v>
      </c>
      <c r="F596" s="2" t="s">
        <v>35</v>
      </c>
      <c r="G596" s="2" t="s">
        <v>845</v>
      </c>
      <c r="H596" s="2">
        <v>2166.4299999999998</v>
      </c>
      <c r="I596" s="2">
        <v>1581.66</v>
      </c>
      <c r="J596" s="2">
        <v>584.77</v>
      </c>
      <c r="K596" s="2" t="s">
        <v>21</v>
      </c>
      <c r="L596" s="2"/>
      <c r="M596" s="2">
        <v>5</v>
      </c>
      <c r="N596" s="2" t="s">
        <v>29</v>
      </c>
    </row>
    <row r="597" spans="1:14" x14ac:dyDescent="0.3">
      <c r="A597" s="2" t="s">
        <v>426</v>
      </c>
      <c r="B597" s="2" t="s">
        <v>427</v>
      </c>
      <c r="C597" s="2" t="s">
        <v>124</v>
      </c>
      <c r="D597" s="2" t="s">
        <v>17</v>
      </c>
      <c r="E597" s="2" t="s">
        <v>96</v>
      </c>
      <c r="F597" s="2" t="s">
        <v>84</v>
      </c>
      <c r="G597" s="2" t="s">
        <v>20</v>
      </c>
      <c r="H597" s="2">
        <v>2273.66</v>
      </c>
      <c r="I597" s="2">
        <v>1731.37</v>
      </c>
      <c r="J597" s="2">
        <v>542.29</v>
      </c>
      <c r="K597" s="2" t="s">
        <v>21</v>
      </c>
      <c r="L597" s="2"/>
      <c r="M597" s="2">
        <v>4</v>
      </c>
      <c r="N597" s="2" t="s">
        <v>22</v>
      </c>
    </row>
    <row r="598" spans="1:14" x14ac:dyDescent="0.3">
      <c r="A598" s="2" t="s">
        <v>1031</v>
      </c>
      <c r="B598" s="2" t="s">
        <v>31</v>
      </c>
      <c r="C598" s="2" t="s">
        <v>32</v>
      </c>
      <c r="D598" s="2" t="s">
        <v>7</v>
      </c>
      <c r="E598" s="2"/>
      <c r="F598" s="2" t="s">
        <v>87</v>
      </c>
      <c r="G598" s="2" t="s">
        <v>73</v>
      </c>
      <c r="H598" s="2">
        <v>264.64999999999998</v>
      </c>
      <c r="I598" s="2">
        <v>203.25</v>
      </c>
      <c r="J598" s="2">
        <v>61.4</v>
      </c>
      <c r="K598" s="2" t="s">
        <v>56</v>
      </c>
      <c r="L598" s="2">
        <v>3</v>
      </c>
      <c r="M598" s="2">
        <v>1</v>
      </c>
      <c r="N598" s="2" t="s">
        <v>29</v>
      </c>
    </row>
    <row r="599" spans="1:14" x14ac:dyDescent="0.3">
      <c r="A599" s="2" t="s">
        <v>1091</v>
      </c>
      <c r="B599" s="2" t="s">
        <v>1092</v>
      </c>
      <c r="C599" s="2" t="s">
        <v>124</v>
      </c>
      <c r="D599" s="2" t="s">
        <v>7</v>
      </c>
      <c r="E599" s="2" t="s">
        <v>55</v>
      </c>
      <c r="F599" s="2" t="s">
        <v>87</v>
      </c>
      <c r="G599" s="2" t="s">
        <v>36</v>
      </c>
      <c r="H599" s="2">
        <v>1909.64</v>
      </c>
      <c r="I599" s="2">
        <v>1377.57</v>
      </c>
      <c r="J599" s="2">
        <v>532.07000000000005</v>
      </c>
      <c r="K599" s="2" t="s">
        <v>21</v>
      </c>
      <c r="L599" s="2"/>
      <c r="M599" s="2">
        <v>3</v>
      </c>
      <c r="N599" s="2" t="s">
        <v>29</v>
      </c>
    </row>
    <row r="600" spans="1:14" x14ac:dyDescent="0.3">
      <c r="A600" s="2" t="s">
        <v>1093</v>
      </c>
      <c r="B600" s="2" t="s">
        <v>836</v>
      </c>
      <c r="C600" s="2" t="s">
        <v>64</v>
      </c>
      <c r="D600" s="2" t="s">
        <v>42</v>
      </c>
      <c r="E600" s="2" t="s">
        <v>80</v>
      </c>
      <c r="F600" s="2" t="s">
        <v>87</v>
      </c>
      <c r="G600" s="2" t="s">
        <v>36</v>
      </c>
      <c r="H600" s="2">
        <v>1172.0999999999999</v>
      </c>
      <c r="I600" s="2">
        <v>1016.76</v>
      </c>
      <c r="J600" s="2">
        <v>155.34</v>
      </c>
      <c r="K600" s="2" t="s">
        <v>56</v>
      </c>
      <c r="L600" s="2">
        <v>11</v>
      </c>
      <c r="M600" s="2">
        <v>4</v>
      </c>
      <c r="N600" s="2" t="s">
        <v>22</v>
      </c>
    </row>
    <row r="601" spans="1:14" x14ac:dyDescent="0.3">
      <c r="A601" s="2" t="s">
        <v>1094</v>
      </c>
      <c r="B601" s="2" t="s">
        <v>1095</v>
      </c>
      <c r="C601" s="2" t="s">
        <v>25</v>
      </c>
      <c r="D601" s="2" t="s">
        <v>33</v>
      </c>
      <c r="E601" s="2" t="s">
        <v>39</v>
      </c>
      <c r="F601" s="2" t="s">
        <v>87</v>
      </c>
      <c r="G601" s="2" t="s">
        <v>36</v>
      </c>
      <c r="H601" s="2">
        <v>2203.2800000000002</v>
      </c>
      <c r="I601" s="2">
        <v>1604.71</v>
      </c>
      <c r="J601" s="2">
        <v>598.57000000000005</v>
      </c>
      <c r="K601" s="2" t="s">
        <v>21</v>
      </c>
      <c r="L601" s="2"/>
      <c r="M601" s="2">
        <v>4</v>
      </c>
      <c r="N601" s="2" t="s">
        <v>22</v>
      </c>
    </row>
    <row r="602" spans="1:14" x14ac:dyDescent="0.3">
      <c r="A602" s="2" t="s">
        <v>1096</v>
      </c>
      <c r="B602" s="2" t="s">
        <v>1097</v>
      </c>
      <c r="C602" s="2" t="s">
        <v>104</v>
      </c>
      <c r="D602" s="2" t="s">
        <v>33</v>
      </c>
      <c r="E602" s="2" t="s">
        <v>205</v>
      </c>
      <c r="F602" s="2" t="s">
        <v>87</v>
      </c>
      <c r="G602" s="2" t="s">
        <v>44</v>
      </c>
      <c r="H602" s="2">
        <v>2746.63</v>
      </c>
      <c r="I602" s="2">
        <v>2075.96</v>
      </c>
      <c r="J602" s="2">
        <v>670.67</v>
      </c>
      <c r="K602" s="2" t="s">
        <v>21</v>
      </c>
      <c r="L602" s="2"/>
      <c r="M602" s="2">
        <v>5</v>
      </c>
      <c r="N602" s="2" t="s">
        <v>22</v>
      </c>
    </row>
    <row r="603" spans="1:14" x14ac:dyDescent="0.3">
      <c r="A603" s="2" t="s">
        <v>1098</v>
      </c>
      <c r="B603" s="2" t="s">
        <v>486</v>
      </c>
      <c r="C603" s="2" t="s">
        <v>115</v>
      </c>
      <c r="D603" s="2" t="s">
        <v>59</v>
      </c>
      <c r="E603" s="2" t="s">
        <v>308</v>
      </c>
      <c r="F603" s="2" t="s">
        <v>19</v>
      </c>
      <c r="G603" s="2" t="s">
        <v>36</v>
      </c>
      <c r="H603" s="2">
        <v>2776.61</v>
      </c>
      <c r="I603" s="2">
        <v>2099.0100000000002</v>
      </c>
      <c r="J603" s="2">
        <v>677.6</v>
      </c>
      <c r="K603" s="2" t="s">
        <v>21</v>
      </c>
      <c r="L603" s="2"/>
      <c r="M603" s="2">
        <v>4</v>
      </c>
      <c r="N603" s="2" t="s">
        <v>22</v>
      </c>
    </row>
    <row r="604" spans="1:14" x14ac:dyDescent="0.3">
      <c r="A604" s="2" t="s">
        <v>1099</v>
      </c>
      <c r="B604" s="2" t="s">
        <v>196</v>
      </c>
      <c r="C604" s="2" t="s">
        <v>68</v>
      </c>
      <c r="D604" s="2" t="s">
        <v>59</v>
      </c>
      <c r="E604" s="2"/>
      <c r="F604" s="2" t="s">
        <v>84</v>
      </c>
      <c r="G604" s="2" t="s">
        <v>73</v>
      </c>
      <c r="H604" s="2">
        <v>1680.1</v>
      </c>
      <c r="I604" s="2">
        <v>1079.01</v>
      </c>
      <c r="J604" s="2">
        <v>601.09</v>
      </c>
      <c r="K604" s="2" t="s">
        <v>21</v>
      </c>
      <c r="L604" s="2"/>
      <c r="M604" s="2">
        <v>5</v>
      </c>
      <c r="N604" s="2" t="s">
        <v>22</v>
      </c>
    </row>
    <row r="605" spans="1:14" x14ac:dyDescent="0.3">
      <c r="A605" s="2" t="s">
        <v>1100</v>
      </c>
      <c r="B605" s="2" t="s">
        <v>1101</v>
      </c>
      <c r="C605" s="2" t="s">
        <v>115</v>
      </c>
      <c r="D605" s="2" t="s">
        <v>59</v>
      </c>
      <c r="E605" s="2" t="s">
        <v>116</v>
      </c>
      <c r="F605" s="2" t="s">
        <v>27</v>
      </c>
      <c r="G605" s="2" t="s">
        <v>36</v>
      </c>
      <c r="H605" s="2">
        <v>4281.72</v>
      </c>
      <c r="I605" s="2">
        <v>2882.49</v>
      </c>
      <c r="J605" s="2">
        <v>1399.23</v>
      </c>
      <c r="K605" s="2" t="s">
        <v>56</v>
      </c>
      <c r="L605" s="2">
        <v>7</v>
      </c>
      <c r="M605" s="2">
        <v>1</v>
      </c>
      <c r="N605" s="2" t="s">
        <v>22</v>
      </c>
    </row>
    <row r="606" spans="1:14" x14ac:dyDescent="0.3">
      <c r="A606" s="2" t="s">
        <v>1102</v>
      </c>
      <c r="B606" s="2" t="s">
        <v>266</v>
      </c>
      <c r="C606" s="2" t="s">
        <v>25</v>
      </c>
      <c r="D606" s="2" t="s">
        <v>59</v>
      </c>
      <c r="E606" s="2" t="s">
        <v>108</v>
      </c>
      <c r="F606" s="2" t="s">
        <v>40</v>
      </c>
      <c r="G606" s="2" t="s">
        <v>28</v>
      </c>
      <c r="H606" s="2">
        <v>2298.6</v>
      </c>
      <c r="I606" s="2">
        <v>1369.82</v>
      </c>
      <c r="J606" s="2">
        <v>928.78</v>
      </c>
      <c r="K606" s="2" t="s">
        <v>21</v>
      </c>
      <c r="L606" s="2"/>
      <c r="M606" s="2">
        <v>4</v>
      </c>
      <c r="N606" s="2" t="s">
        <v>22</v>
      </c>
    </row>
    <row r="607" spans="1:14" x14ac:dyDescent="0.3">
      <c r="A607" s="2" t="s">
        <v>1103</v>
      </c>
      <c r="B607" s="2" t="s">
        <v>1104</v>
      </c>
      <c r="C607" s="2" t="s">
        <v>76</v>
      </c>
      <c r="D607" s="2" t="s">
        <v>17</v>
      </c>
      <c r="E607" s="2" t="s">
        <v>226</v>
      </c>
      <c r="F607" s="2" t="s">
        <v>19</v>
      </c>
      <c r="G607" s="2" t="s">
        <v>28</v>
      </c>
      <c r="H607" s="2">
        <v>1737</v>
      </c>
      <c r="I607" s="2">
        <v>958.66</v>
      </c>
      <c r="J607" s="2">
        <v>778.34</v>
      </c>
      <c r="K607" s="2" t="s">
        <v>56</v>
      </c>
      <c r="L607" s="2">
        <v>7</v>
      </c>
      <c r="M607" s="2"/>
      <c r="N607" s="2" t="s">
        <v>22</v>
      </c>
    </row>
    <row r="608" spans="1:14" x14ac:dyDescent="0.3">
      <c r="A608" s="2" t="s">
        <v>1105</v>
      </c>
      <c r="B608" s="2" t="s">
        <v>960</v>
      </c>
      <c r="C608" s="2" t="s">
        <v>64</v>
      </c>
      <c r="D608" s="2" t="s">
        <v>42</v>
      </c>
      <c r="E608" s="2" t="s">
        <v>162</v>
      </c>
      <c r="F608" s="2" t="s">
        <v>27</v>
      </c>
      <c r="G608" s="2" t="s">
        <v>28</v>
      </c>
      <c r="H608" s="2">
        <v>3227.59</v>
      </c>
      <c r="I608" s="2">
        <v>2678.37</v>
      </c>
      <c r="J608" s="2">
        <v>549.22</v>
      </c>
      <c r="K608" s="2" t="s">
        <v>56</v>
      </c>
      <c r="L608" s="2">
        <v>5</v>
      </c>
      <c r="M608" s="2">
        <v>2</v>
      </c>
      <c r="N608" s="2" t="s">
        <v>29</v>
      </c>
    </row>
    <row r="609" spans="1:14" x14ac:dyDescent="0.3">
      <c r="A609" s="2" t="s">
        <v>910</v>
      </c>
      <c r="B609" s="2" t="s">
        <v>644</v>
      </c>
      <c r="C609" s="2" t="s">
        <v>64</v>
      </c>
      <c r="D609" s="2" t="s">
        <v>17</v>
      </c>
      <c r="E609" s="2" t="s">
        <v>96</v>
      </c>
      <c r="F609" s="2" t="s">
        <v>87</v>
      </c>
      <c r="G609" s="2" t="s">
        <v>44</v>
      </c>
      <c r="H609" s="2">
        <v>2030.2</v>
      </c>
      <c r="I609" s="2">
        <v>1426.04</v>
      </c>
      <c r="J609" s="2">
        <v>604.16</v>
      </c>
      <c r="K609" s="2" t="s">
        <v>21</v>
      </c>
      <c r="L609" s="2"/>
      <c r="M609" s="2">
        <v>4</v>
      </c>
      <c r="N609" s="2" t="s">
        <v>22</v>
      </c>
    </row>
    <row r="610" spans="1:14" x14ac:dyDescent="0.3">
      <c r="A610" s="2" t="s">
        <v>1106</v>
      </c>
      <c r="B610" s="2" t="s">
        <v>531</v>
      </c>
      <c r="C610" s="2" t="s">
        <v>124</v>
      </c>
      <c r="D610" s="2" t="s">
        <v>7</v>
      </c>
      <c r="E610" s="2" t="s">
        <v>185</v>
      </c>
      <c r="F610" s="2" t="s">
        <v>40</v>
      </c>
      <c r="G610" s="2" t="s">
        <v>36</v>
      </c>
      <c r="H610" s="2">
        <v>1296.21</v>
      </c>
      <c r="I610" s="2">
        <v>902.7</v>
      </c>
      <c r="J610" s="2">
        <v>393.51</v>
      </c>
      <c r="K610" s="2" t="s">
        <v>21</v>
      </c>
      <c r="L610" s="2"/>
      <c r="M610" s="2">
        <v>1</v>
      </c>
      <c r="N610" s="2" t="s">
        <v>22</v>
      </c>
    </row>
    <row r="611" spans="1:14" x14ac:dyDescent="0.3">
      <c r="A611" s="2" t="s">
        <v>1107</v>
      </c>
      <c r="B611" s="2" t="s">
        <v>960</v>
      </c>
      <c r="C611" s="2" t="s">
        <v>64</v>
      </c>
      <c r="D611" s="2" t="s">
        <v>59</v>
      </c>
      <c r="E611" s="2" t="s">
        <v>108</v>
      </c>
      <c r="F611" s="2" t="s">
        <v>87</v>
      </c>
      <c r="G611" s="2" t="s">
        <v>73</v>
      </c>
      <c r="H611" s="2">
        <v>2955.54</v>
      </c>
      <c r="I611" s="2">
        <v>2054.04</v>
      </c>
      <c r="J611" s="2">
        <v>901.5</v>
      </c>
      <c r="K611" s="2" t="s">
        <v>21</v>
      </c>
      <c r="L611" s="2"/>
      <c r="M611" s="2">
        <v>4</v>
      </c>
      <c r="N611" s="2" t="s">
        <v>22</v>
      </c>
    </row>
    <row r="612" spans="1:14" x14ac:dyDescent="0.3">
      <c r="A612" s="2" t="s">
        <v>1108</v>
      </c>
      <c r="B612" s="2" t="s">
        <v>164</v>
      </c>
      <c r="C612" s="2" t="s">
        <v>25</v>
      </c>
      <c r="D612" s="2" t="s">
        <v>7</v>
      </c>
      <c r="E612" s="2" t="s">
        <v>55</v>
      </c>
      <c r="F612" s="2" t="s">
        <v>87</v>
      </c>
      <c r="G612" s="2" t="s">
        <v>73</v>
      </c>
      <c r="H612" s="2">
        <v>2062.65</v>
      </c>
      <c r="I612" s="2">
        <v>1143.29</v>
      </c>
      <c r="J612" s="2">
        <v>919.36</v>
      </c>
      <c r="K612" s="2" t="s">
        <v>21</v>
      </c>
      <c r="L612" s="2"/>
      <c r="M612" s="2">
        <v>5</v>
      </c>
      <c r="N612" s="2" t="s">
        <v>22</v>
      </c>
    </row>
    <row r="613" spans="1:14" x14ac:dyDescent="0.3">
      <c r="A613" s="2" t="s">
        <v>1109</v>
      </c>
      <c r="B613" s="2" t="s">
        <v>307</v>
      </c>
      <c r="C613" s="2" t="s">
        <v>115</v>
      </c>
      <c r="D613" s="2" t="s">
        <v>17</v>
      </c>
      <c r="E613" s="2" t="s">
        <v>18</v>
      </c>
      <c r="F613" s="2" t="s">
        <v>87</v>
      </c>
      <c r="G613" s="2" t="s">
        <v>36</v>
      </c>
      <c r="H613" s="2">
        <v>2669.2</v>
      </c>
      <c r="I613" s="2">
        <v>1557.88</v>
      </c>
      <c r="J613" s="2">
        <v>1111.32</v>
      </c>
      <c r="K613" s="2" t="s">
        <v>21</v>
      </c>
      <c r="L613" s="2"/>
      <c r="M613" s="2"/>
      <c r="N613" s="2" t="s">
        <v>29</v>
      </c>
    </row>
    <row r="614" spans="1:14" x14ac:dyDescent="0.3">
      <c r="A614" s="2" t="s">
        <v>965</v>
      </c>
      <c r="B614" s="2" t="s">
        <v>411</v>
      </c>
      <c r="C614" s="2" t="s">
        <v>179</v>
      </c>
      <c r="D614" s="2" t="s">
        <v>17</v>
      </c>
      <c r="E614" s="2" t="s">
        <v>226</v>
      </c>
      <c r="F614" s="2" t="s">
        <v>84</v>
      </c>
      <c r="G614" s="2" t="s">
        <v>36</v>
      </c>
      <c r="H614" s="2">
        <v>3022</v>
      </c>
      <c r="I614" s="2">
        <v>1752.03</v>
      </c>
      <c r="J614" s="2">
        <v>1269.97</v>
      </c>
      <c r="K614" s="2" t="s">
        <v>21</v>
      </c>
      <c r="L614" s="2"/>
      <c r="M614" s="2">
        <v>5</v>
      </c>
      <c r="N614" s="2" t="s">
        <v>29</v>
      </c>
    </row>
    <row r="615" spans="1:14" x14ac:dyDescent="0.3">
      <c r="A615" s="2" t="s">
        <v>1110</v>
      </c>
      <c r="B615" s="2" t="s">
        <v>1111</v>
      </c>
      <c r="C615" s="2" t="s">
        <v>115</v>
      </c>
      <c r="D615" s="2" t="s">
        <v>375</v>
      </c>
      <c r="E615" s="2" t="s">
        <v>77</v>
      </c>
      <c r="F615" s="2" t="s">
        <v>84</v>
      </c>
      <c r="G615" s="2" t="s">
        <v>28</v>
      </c>
      <c r="H615" s="2">
        <v>519.98</v>
      </c>
      <c r="I615" s="2">
        <v>370.84</v>
      </c>
      <c r="J615" s="2">
        <v>149.13999999999999</v>
      </c>
      <c r="K615" s="2" t="s">
        <v>56</v>
      </c>
      <c r="L615" s="2">
        <v>4</v>
      </c>
      <c r="M615" s="2">
        <v>4</v>
      </c>
      <c r="N615" s="2" t="s">
        <v>22</v>
      </c>
    </row>
    <row r="616" spans="1:14" x14ac:dyDescent="0.3">
      <c r="A616" s="2" t="s">
        <v>1112</v>
      </c>
      <c r="B616" s="2" t="s">
        <v>276</v>
      </c>
      <c r="C616" s="2" t="s">
        <v>32</v>
      </c>
      <c r="D616" s="2" t="s">
        <v>7</v>
      </c>
      <c r="E616" s="2" t="s">
        <v>182</v>
      </c>
      <c r="F616" s="2" t="s">
        <v>84</v>
      </c>
      <c r="G616" s="2" t="s">
        <v>36</v>
      </c>
      <c r="H616" s="2">
        <v>1718.22</v>
      </c>
      <c r="I616" s="2">
        <v>947.24</v>
      </c>
      <c r="J616" s="2">
        <v>770.98</v>
      </c>
      <c r="K616" s="2" t="s">
        <v>652</v>
      </c>
      <c r="L616" s="2"/>
      <c r="M616" s="2">
        <v>4</v>
      </c>
      <c r="N616" s="2" t="s">
        <v>29</v>
      </c>
    </row>
    <row r="617" spans="1:14" x14ac:dyDescent="0.3">
      <c r="A617" s="2" t="s">
        <v>1113</v>
      </c>
      <c r="B617" s="2" t="s">
        <v>1114</v>
      </c>
      <c r="C617" s="2" t="s">
        <v>115</v>
      </c>
      <c r="D617" s="2" t="s">
        <v>1115</v>
      </c>
      <c r="E617" s="2" t="s">
        <v>185</v>
      </c>
      <c r="F617" s="2" t="s">
        <v>27</v>
      </c>
      <c r="G617" s="2" t="s">
        <v>28</v>
      </c>
      <c r="H617" s="2">
        <v>2805.65</v>
      </c>
      <c r="I617" s="2">
        <v>1684.74</v>
      </c>
      <c r="J617" s="2">
        <v>1120.9100000000001</v>
      </c>
      <c r="K617" s="2" t="s">
        <v>21</v>
      </c>
      <c r="L617" s="2"/>
      <c r="M617" s="2">
        <v>4</v>
      </c>
      <c r="N617" s="2" t="s">
        <v>22</v>
      </c>
    </row>
    <row r="618" spans="1:14" x14ac:dyDescent="0.3">
      <c r="A618" s="2" t="s">
        <v>1116</v>
      </c>
      <c r="B618" s="2" t="s">
        <v>1117</v>
      </c>
      <c r="C618" s="2" t="s">
        <v>115</v>
      </c>
      <c r="D618" s="2" t="s">
        <v>33</v>
      </c>
      <c r="E618" s="2" t="s">
        <v>205</v>
      </c>
      <c r="F618" s="2" t="s">
        <v>27</v>
      </c>
      <c r="G618" s="2" t="s">
        <v>28</v>
      </c>
      <c r="H618" s="2">
        <v>1683.47</v>
      </c>
      <c r="I618" s="2">
        <v>1205.95</v>
      </c>
      <c r="J618" s="2">
        <v>477.52</v>
      </c>
      <c r="K618" s="2" t="s">
        <v>21</v>
      </c>
      <c r="L618" s="2"/>
      <c r="M618" s="2">
        <v>4</v>
      </c>
      <c r="N618" s="2" t="s">
        <v>29</v>
      </c>
    </row>
    <row r="619" spans="1:14" x14ac:dyDescent="0.3">
      <c r="A619" s="2" t="s">
        <v>1118</v>
      </c>
      <c r="B619" s="2" t="s">
        <v>1119</v>
      </c>
      <c r="C619" s="2" t="s">
        <v>179</v>
      </c>
      <c r="D619" s="2" t="s">
        <v>33</v>
      </c>
      <c r="E619" s="2" t="s">
        <v>119</v>
      </c>
      <c r="F619" s="2" t="s">
        <v>40</v>
      </c>
      <c r="G619" s="2" t="s">
        <v>20</v>
      </c>
      <c r="H619" s="2">
        <v>1104.46</v>
      </c>
      <c r="I619" s="2">
        <v>608.85</v>
      </c>
      <c r="J619" s="2">
        <v>495.61</v>
      </c>
      <c r="K619" s="2" t="s">
        <v>56</v>
      </c>
      <c r="L619" s="2">
        <v>3</v>
      </c>
      <c r="M619" s="2">
        <v>2</v>
      </c>
      <c r="N619" s="2" t="s">
        <v>22</v>
      </c>
    </row>
    <row r="620" spans="1:14" x14ac:dyDescent="0.3">
      <c r="A620" s="2" t="s">
        <v>1120</v>
      </c>
      <c r="B620" s="2" t="s">
        <v>1121</v>
      </c>
      <c r="C620" s="2" t="s">
        <v>111</v>
      </c>
      <c r="D620" s="2" t="s">
        <v>17</v>
      </c>
      <c r="E620" s="2" t="s">
        <v>100</v>
      </c>
      <c r="F620" s="2" t="s">
        <v>19</v>
      </c>
      <c r="G620" s="2" t="s">
        <v>28</v>
      </c>
      <c r="H620" s="2">
        <v>1054.78</v>
      </c>
      <c r="I620" s="2">
        <v>793.25</v>
      </c>
      <c r="J620" s="2">
        <v>261.52999999999997</v>
      </c>
      <c r="K620" s="2" t="s">
        <v>21</v>
      </c>
      <c r="L620" s="2"/>
      <c r="M620" s="2">
        <v>4</v>
      </c>
      <c r="N620" s="2" t="s">
        <v>22</v>
      </c>
    </row>
    <row r="621" spans="1:14" x14ac:dyDescent="0.3">
      <c r="A621" s="2" t="s">
        <v>1122</v>
      </c>
      <c r="B621" s="2" t="s">
        <v>1123</v>
      </c>
      <c r="C621" s="2" t="s">
        <v>54</v>
      </c>
      <c r="D621" s="2" t="s">
        <v>42</v>
      </c>
      <c r="E621" s="2" t="s">
        <v>80</v>
      </c>
      <c r="F621" s="2"/>
      <c r="G621" s="2" t="s">
        <v>73</v>
      </c>
      <c r="H621" s="2">
        <v>296.22000000000003</v>
      </c>
      <c r="I621" s="2">
        <v>255.89</v>
      </c>
      <c r="J621" s="2">
        <v>40.33</v>
      </c>
      <c r="K621" s="2" t="s">
        <v>56</v>
      </c>
      <c r="L621" s="2">
        <v>9</v>
      </c>
      <c r="M621" s="2">
        <v>1</v>
      </c>
      <c r="N621" s="2" t="s">
        <v>22</v>
      </c>
    </row>
    <row r="622" spans="1:14" x14ac:dyDescent="0.3">
      <c r="A622" s="2" t="s">
        <v>1124</v>
      </c>
      <c r="B622" s="2" t="s">
        <v>1125</v>
      </c>
      <c r="C622" s="2" t="s">
        <v>111</v>
      </c>
      <c r="D622" s="2" t="s">
        <v>33</v>
      </c>
      <c r="E622" s="2" t="s">
        <v>105</v>
      </c>
      <c r="F622" s="2" t="s">
        <v>35</v>
      </c>
      <c r="G622" s="2" t="s">
        <v>73</v>
      </c>
      <c r="H622" s="2">
        <v>1074.42</v>
      </c>
      <c r="I622" s="2">
        <v>747.88</v>
      </c>
      <c r="J622" s="2">
        <v>326.54000000000002</v>
      </c>
      <c r="K622" s="2" t="s">
        <v>21</v>
      </c>
      <c r="L622" s="2"/>
      <c r="M622" s="2">
        <v>5</v>
      </c>
      <c r="N622" s="2" t="s">
        <v>29</v>
      </c>
    </row>
    <row r="623" spans="1:14" x14ac:dyDescent="0.3">
      <c r="A623" s="2" t="s">
        <v>1126</v>
      </c>
      <c r="B623" s="2" t="s">
        <v>583</v>
      </c>
      <c r="C623" s="2" t="s">
        <v>104</v>
      </c>
      <c r="D623" s="2" t="s">
        <v>17</v>
      </c>
      <c r="E623" s="2" t="s">
        <v>18</v>
      </c>
      <c r="F623" s="2" t="s">
        <v>19</v>
      </c>
      <c r="G623" s="2" t="s">
        <v>28</v>
      </c>
      <c r="H623" s="2">
        <v>255.76</v>
      </c>
      <c r="I623" s="2">
        <v>201.3</v>
      </c>
      <c r="J623" s="2">
        <v>54.46</v>
      </c>
      <c r="K623" s="2" t="s">
        <v>21</v>
      </c>
      <c r="L623" s="2"/>
      <c r="M623" s="2">
        <v>4</v>
      </c>
      <c r="N623" s="2" t="s">
        <v>22</v>
      </c>
    </row>
    <row r="624" spans="1:14" x14ac:dyDescent="0.3">
      <c r="A624" s="2" t="s">
        <v>1127</v>
      </c>
      <c r="B624" s="2" t="s">
        <v>1128</v>
      </c>
      <c r="C624" s="2" t="s">
        <v>115</v>
      </c>
      <c r="D624" s="2" t="s">
        <v>7</v>
      </c>
      <c r="E624" s="2" t="s">
        <v>69</v>
      </c>
      <c r="F624" s="2" t="s">
        <v>27</v>
      </c>
      <c r="G624" s="2" t="s">
        <v>36</v>
      </c>
      <c r="H624" s="2">
        <v>2372.64</v>
      </c>
      <c r="I624" s="2">
        <v>1722.69</v>
      </c>
      <c r="J624" s="2">
        <v>649.95000000000005</v>
      </c>
      <c r="K624" s="2" t="s">
        <v>21</v>
      </c>
      <c r="L624" s="2"/>
      <c r="M624" s="2">
        <v>5</v>
      </c>
      <c r="N624" s="2" t="s">
        <v>22</v>
      </c>
    </row>
    <row r="625" spans="1:14" x14ac:dyDescent="0.3">
      <c r="A625" s="2" t="s">
        <v>1129</v>
      </c>
      <c r="B625" s="2" t="s">
        <v>789</v>
      </c>
      <c r="C625" s="2" t="s">
        <v>115</v>
      </c>
      <c r="D625" s="2" t="s">
        <v>17</v>
      </c>
      <c r="E625" s="2" t="s">
        <v>26</v>
      </c>
      <c r="F625" s="2" t="s">
        <v>19</v>
      </c>
      <c r="G625" s="2" t="s">
        <v>36</v>
      </c>
      <c r="H625" s="2">
        <v>702.27</v>
      </c>
      <c r="I625" s="2">
        <v>497.37</v>
      </c>
      <c r="J625" s="2">
        <v>204.9</v>
      </c>
      <c r="K625" s="2" t="s">
        <v>21</v>
      </c>
      <c r="L625" s="2"/>
      <c r="M625" s="2">
        <v>4</v>
      </c>
      <c r="N625" s="2" t="s">
        <v>22</v>
      </c>
    </row>
    <row r="626" spans="1:14" x14ac:dyDescent="0.3">
      <c r="A626" s="2" t="s">
        <v>1130</v>
      </c>
      <c r="B626" s="2" t="s">
        <v>1131</v>
      </c>
      <c r="C626" s="2" t="s">
        <v>64</v>
      </c>
      <c r="D626" s="2" t="s">
        <v>42</v>
      </c>
      <c r="E626" s="2" t="s">
        <v>77</v>
      </c>
      <c r="F626" s="2" t="s">
        <v>19</v>
      </c>
      <c r="G626" s="2" t="s">
        <v>73</v>
      </c>
      <c r="H626" s="2">
        <v>3252.24</v>
      </c>
      <c r="I626" s="2">
        <v>2557.7199999999998</v>
      </c>
      <c r="J626" s="2">
        <v>694.52</v>
      </c>
      <c r="K626" s="2" t="s">
        <v>56</v>
      </c>
      <c r="L626" s="2">
        <v>5</v>
      </c>
      <c r="M626" s="2">
        <v>1</v>
      </c>
      <c r="N626" s="2" t="s">
        <v>22</v>
      </c>
    </row>
    <row r="627" spans="1:14" x14ac:dyDescent="0.3">
      <c r="A627" s="2" t="s">
        <v>1132</v>
      </c>
      <c r="B627" s="2" t="s">
        <v>1133</v>
      </c>
      <c r="C627" s="2" t="s">
        <v>115</v>
      </c>
      <c r="D627" s="2" t="s">
        <v>42</v>
      </c>
      <c r="E627" s="2" t="s">
        <v>43</v>
      </c>
      <c r="F627" s="2" t="s">
        <v>35</v>
      </c>
      <c r="G627" s="2" t="s">
        <v>44</v>
      </c>
      <c r="H627" s="2">
        <v>3155.4</v>
      </c>
      <c r="I627" s="2">
        <v>2218.66</v>
      </c>
      <c r="J627" s="2">
        <v>936.74</v>
      </c>
      <c r="K627" s="2" t="s">
        <v>56</v>
      </c>
      <c r="L627" s="2">
        <v>10</v>
      </c>
      <c r="M627" s="2">
        <v>3</v>
      </c>
      <c r="N627" s="2" t="s">
        <v>22</v>
      </c>
    </row>
    <row r="628" spans="1:14" x14ac:dyDescent="0.3">
      <c r="A628" s="2" t="s">
        <v>1134</v>
      </c>
      <c r="B628" s="2" t="s">
        <v>1022</v>
      </c>
      <c r="C628" s="2" t="s">
        <v>104</v>
      </c>
      <c r="D628" s="2" t="s">
        <v>42</v>
      </c>
      <c r="E628" s="2" t="s">
        <v>47</v>
      </c>
      <c r="F628" s="2" t="s">
        <v>35</v>
      </c>
      <c r="G628" s="2" t="s">
        <v>20</v>
      </c>
      <c r="H628" s="2">
        <v>876.3</v>
      </c>
      <c r="I628" s="2">
        <v>618</v>
      </c>
      <c r="J628" s="2">
        <v>258.3</v>
      </c>
      <c r="K628" s="2" t="s">
        <v>56</v>
      </c>
      <c r="L628" s="2">
        <v>13</v>
      </c>
      <c r="M628" s="2">
        <v>5</v>
      </c>
      <c r="N628" s="2" t="s">
        <v>29</v>
      </c>
    </row>
    <row r="629" spans="1:14" x14ac:dyDescent="0.3">
      <c r="A629" s="2" t="s">
        <v>1135</v>
      </c>
      <c r="B629" s="2" t="s">
        <v>1136</v>
      </c>
      <c r="C629" s="2" t="s">
        <v>111</v>
      </c>
      <c r="D629" s="2" t="s">
        <v>393</v>
      </c>
      <c r="E629" s="2" t="s">
        <v>194</v>
      </c>
      <c r="F629" s="2" t="s">
        <v>27</v>
      </c>
      <c r="G629" s="2" t="s">
        <v>44</v>
      </c>
      <c r="H629" s="2">
        <v>2317.75</v>
      </c>
      <c r="I629" s="2">
        <v>1584.28</v>
      </c>
      <c r="J629" s="2">
        <v>733.47</v>
      </c>
      <c r="K629" s="2" t="s">
        <v>21</v>
      </c>
      <c r="L629" s="2"/>
      <c r="M629" s="2">
        <v>2</v>
      </c>
      <c r="N629" s="2" t="s">
        <v>22</v>
      </c>
    </row>
    <row r="630" spans="1:14" x14ac:dyDescent="0.3">
      <c r="A630" s="2" t="s">
        <v>1137</v>
      </c>
      <c r="B630" s="2" t="s">
        <v>332</v>
      </c>
      <c r="C630" s="2" t="s">
        <v>104</v>
      </c>
      <c r="D630" s="2" t="s">
        <v>33</v>
      </c>
      <c r="E630" s="2"/>
      <c r="F630" s="2" t="s">
        <v>19</v>
      </c>
      <c r="G630" s="2" t="s">
        <v>36</v>
      </c>
      <c r="H630" s="2">
        <v>2752.19</v>
      </c>
      <c r="I630" s="2">
        <v>1736.23</v>
      </c>
      <c r="J630" s="2">
        <v>1015.96</v>
      </c>
      <c r="K630" s="2" t="s">
        <v>56</v>
      </c>
      <c r="L630" s="2">
        <v>6</v>
      </c>
      <c r="M630" s="2">
        <v>2</v>
      </c>
      <c r="N630" s="2" t="s">
        <v>22</v>
      </c>
    </row>
    <row r="631" spans="1:14" x14ac:dyDescent="0.3">
      <c r="A631" s="2" t="s">
        <v>1138</v>
      </c>
      <c r="B631" s="2" t="s">
        <v>1139</v>
      </c>
      <c r="C631" s="2" t="s">
        <v>104</v>
      </c>
      <c r="D631" s="2" t="s">
        <v>42</v>
      </c>
      <c r="E631" s="2" t="s">
        <v>47</v>
      </c>
      <c r="F631" s="2" t="s">
        <v>27</v>
      </c>
      <c r="G631" s="2" t="s">
        <v>36</v>
      </c>
      <c r="H631" s="2">
        <v>2786.52</v>
      </c>
      <c r="I631" s="2">
        <v>2392.1999999999998</v>
      </c>
      <c r="J631" s="2">
        <v>394.32</v>
      </c>
      <c r="K631" s="2" t="s">
        <v>21</v>
      </c>
      <c r="L631" s="2"/>
      <c r="M631" s="2">
        <v>5</v>
      </c>
      <c r="N631" s="2" t="s">
        <v>22</v>
      </c>
    </row>
    <row r="632" spans="1:14" x14ac:dyDescent="0.3">
      <c r="A632" s="2" t="s">
        <v>1140</v>
      </c>
      <c r="B632" s="2" t="s">
        <v>696</v>
      </c>
      <c r="C632" s="2" t="s">
        <v>179</v>
      </c>
      <c r="D632" s="2" t="s">
        <v>42</v>
      </c>
      <c r="E632" s="2" t="s">
        <v>262</v>
      </c>
      <c r="F632" s="2" t="s">
        <v>87</v>
      </c>
      <c r="G632" s="2" t="s">
        <v>20</v>
      </c>
      <c r="H632" s="2">
        <v>2805.75</v>
      </c>
      <c r="I632" s="2">
        <v>2507.4</v>
      </c>
      <c r="J632" s="2">
        <v>298.35000000000002</v>
      </c>
      <c r="K632" s="2" t="s">
        <v>56</v>
      </c>
      <c r="L632" s="2">
        <v>9</v>
      </c>
      <c r="M632" s="2">
        <v>4</v>
      </c>
      <c r="N632" s="2" t="s">
        <v>22</v>
      </c>
    </row>
    <row r="633" spans="1:14" x14ac:dyDescent="0.3">
      <c r="A633" s="2" t="s">
        <v>1141</v>
      </c>
      <c r="B633" s="2" t="s">
        <v>1142</v>
      </c>
      <c r="C633" s="2" t="s">
        <v>111</v>
      </c>
      <c r="D633" s="2" t="s">
        <v>33</v>
      </c>
      <c r="E633" s="2" t="s">
        <v>34</v>
      </c>
      <c r="F633" s="2" t="s">
        <v>84</v>
      </c>
      <c r="G633" s="2" t="s">
        <v>44</v>
      </c>
      <c r="H633" s="2">
        <v>923.55</v>
      </c>
      <c r="I633" s="2">
        <v>561.55999999999995</v>
      </c>
      <c r="J633" s="2">
        <v>361.99</v>
      </c>
      <c r="K633" s="2" t="s">
        <v>21</v>
      </c>
      <c r="L633" s="2"/>
      <c r="M633" s="2">
        <v>4</v>
      </c>
      <c r="N633" s="2" t="s">
        <v>22</v>
      </c>
    </row>
    <row r="634" spans="1:14" x14ac:dyDescent="0.3">
      <c r="A634" s="2" t="s">
        <v>1143</v>
      </c>
      <c r="B634" s="2" t="s">
        <v>1144</v>
      </c>
      <c r="C634" s="2" t="s">
        <v>111</v>
      </c>
      <c r="D634" s="2" t="s">
        <v>59</v>
      </c>
      <c r="E634" s="2" t="s">
        <v>194</v>
      </c>
      <c r="F634" s="2" t="s">
        <v>19</v>
      </c>
      <c r="G634" s="2" t="s">
        <v>20</v>
      </c>
      <c r="H634" s="2">
        <v>2617.7199999999998</v>
      </c>
      <c r="I634" s="2">
        <v>1618.15</v>
      </c>
      <c r="J634" s="2">
        <v>999.57</v>
      </c>
      <c r="K634" s="2" t="s">
        <v>21</v>
      </c>
      <c r="L634" s="2"/>
      <c r="M634" s="2"/>
      <c r="N634" s="2" t="s">
        <v>22</v>
      </c>
    </row>
    <row r="635" spans="1:14" x14ac:dyDescent="0.3">
      <c r="A635" s="2" t="s">
        <v>1145</v>
      </c>
      <c r="B635" s="2" t="s">
        <v>1146</v>
      </c>
      <c r="C635" s="2" t="s">
        <v>64</v>
      </c>
      <c r="D635" s="2" t="s">
        <v>33</v>
      </c>
      <c r="E635" s="2" t="s">
        <v>34</v>
      </c>
      <c r="F635" s="2" t="s">
        <v>40</v>
      </c>
      <c r="G635" s="2" t="s">
        <v>845</v>
      </c>
      <c r="H635" s="2">
        <v>4507.67</v>
      </c>
      <c r="I635" s="2">
        <v>2999.82</v>
      </c>
      <c r="J635" s="2">
        <v>1507.85</v>
      </c>
      <c r="K635" s="2" t="s">
        <v>21</v>
      </c>
      <c r="L635" s="2"/>
      <c r="M635" s="2">
        <v>5</v>
      </c>
      <c r="N635" s="2" t="s">
        <v>22</v>
      </c>
    </row>
    <row r="636" spans="1:14" x14ac:dyDescent="0.3">
      <c r="A636" s="2" t="s">
        <v>1147</v>
      </c>
      <c r="B636" s="2" t="s">
        <v>658</v>
      </c>
      <c r="C636" s="2" t="s">
        <v>115</v>
      </c>
      <c r="D636" s="2" t="s">
        <v>59</v>
      </c>
      <c r="E636" s="2" t="s">
        <v>308</v>
      </c>
      <c r="F636" s="2" t="s">
        <v>84</v>
      </c>
      <c r="G636" s="2" t="s">
        <v>44</v>
      </c>
      <c r="H636" s="2">
        <v>1451.21</v>
      </c>
      <c r="I636" s="2">
        <v>1101.04</v>
      </c>
      <c r="J636" s="2">
        <v>350.17</v>
      </c>
      <c r="K636" s="2" t="s">
        <v>21</v>
      </c>
      <c r="L636" s="2"/>
      <c r="M636" s="2">
        <v>4</v>
      </c>
      <c r="N636" s="2" t="s">
        <v>29</v>
      </c>
    </row>
    <row r="637" spans="1:14" x14ac:dyDescent="0.3">
      <c r="A637" s="2" t="s">
        <v>1148</v>
      </c>
      <c r="B637" s="2" t="s">
        <v>1149</v>
      </c>
      <c r="C637" s="2" t="s">
        <v>64</v>
      </c>
      <c r="D637" s="2" t="s">
        <v>59</v>
      </c>
      <c r="E637" s="2" t="s">
        <v>301</v>
      </c>
      <c r="F637" s="2" t="s">
        <v>19</v>
      </c>
      <c r="G637" s="2" t="s">
        <v>44</v>
      </c>
      <c r="H637" s="2">
        <v>3407.34</v>
      </c>
      <c r="I637" s="2">
        <v>2037.46</v>
      </c>
      <c r="J637" s="2">
        <v>1369.88</v>
      </c>
      <c r="K637" s="2" t="s">
        <v>21</v>
      </c>
      <c r="L637" s="2"/>
      <c r="M637" s="2">
        <v>4</v>
      </c>
      <c r="N637" s="2" t="s">
        <v>22</v>
      </c>
    </row>
    <row r="638" spans="1:14" x14ac:dyDescent="0.3">
      <c r="A638" s="2" t="s">
        <v>1150</v>
      </c>
      <c r="B638" s="2" t="s">
        <v>503</v>
      </c>
      <c r="C638" s="2" t="s">
        <v>76</v>
      </c>
      <c r="D638" s="2" t="s">
        <v>59</v>
      </c>
      <c r="E638" s="2" t="s">
        <v>308</v>
      </c>
      <c r="F638" s="2" t="s">
        <v>19</v>
      </c>
      <c r="G638" s="2" t="s">
        <v>44</v>
      </c>
      <c r="H638" s="2">
        <v>1417.59</v>
      </c>
      <c r="I638" s="2">
        <v>1039.8</v>
      </c>
      <c r="J638" s="2">
        <v>377.79</v>
      </c>
      <c r="K638" s="2" t="s">
        <v>56</v>
      </c>
      <c r="L638" s="2">
        <v>7</v>
      </c>
      <c r="M638" s="2">
        <v>4</v>
      </c>
      <c r="N638" s="2" t="s">
        <v>22</v>
      </c>
    </row>
    <row r="639" spans="1:14" x14ac:dyDescent="0.3">
      <c r="A639" s="2" t="s">
        <v>1151</v>
      </c>
      <c r="B639" s="2" t="s">
        <v>1152</v>
      </c>
      <c r="C639" s="2" t="s">
        <v>32</v>
      </c>
      <c r="D639" s="2" t="s">
        <v>7</v>
      </c>
      <c r="E639" s="2" t="s">
        <v>55</v>
      </c>
      <c r="F639" s="2" t="s">
        <v>35</v>
      </c>
      <c r="G639" s="2" t="s">
        <v>73</v>
      </c>
      <c r="H639" s="2">
        <v>1974.38</v>
      </c>
      <c r="I639" s="2">
        <v>1270.1500000000001</v>
      </c>
      <c r="J639" s="2">
        <v>704.23</v>
      </c>
      <c r="K639" s="2" t="s">
        <v>21</v>
      </c>
      <c r="L639" s="2"/>
      <c r="M639" s="2">
        <v>4</v>
      </c>
      <c r="N639" s="2" t="s">
        <v>22</v>
      </c>
    </row>
    <row r="640" spans="1:14" x14ac:dyDescent="0.3">
      <c r="A640" s="2" t="s">
        <v>1153</v>
      </c>
      <c r="B640" s="2" t="s">
        <v>1131</v>
      </c>
      <c r="C640" s="2" t="s">
        <v>64</v>
      </c>
      <c r="D640" s="2" t="s">
        <v>59</v>
      </c>
      <c r="E640" s="2" t="s">
        <v>60</v>
      </c>
      <c r="F640" s="2" t="s">
        <v>40</v>
      </c>
      <c r="G640" s="2" t="s">
        <v>20</v>
      </c>
      <c r="H640" s="2">
        <v>2618.5100000000002</v>
      </c>
      <c r="I640" s="2">
        <v>1761.78</v>
      </c>
      <c r="J640" s="2">
        <v>856.73</v>
      </c>
      <c r="K640" s="2" t="s">
        <v>21</v>
      </c>
      <c r="L640" s="2"/>
      <c r="M640" s="2">
        <v>5</v>
      </c>
      <c r="N640" s="2" t="s">
        <v>22</v>
      </c>
    </row>
    <row r="641" spans="1:14" x14ac:dyDescent="0.3">
      <c r="A641" s="2" t="s">
        <v>1154</v>
      </c>
      <c r="B641" s="2" t="s">
        <v>1155</v>
      </c>
      <c r="C641" s="2" t="s">
        <v>16</v>
      </c>
      <c r="D641" s="2" t="s">
        <v>42</v>
      </c>
      <c r="E641" s="2" t="s">
        <v>43</v>
      </c>
      <c r="F641" s="2" t="s">
        <v>87</v>
      </c>
      <c r="G641" s="2" t="s">
        <v>28</v>
      </c>
      <c r="H641" s="2">
        <v>430.09</v>
      </c>
      <c r="I641" s="2">
        <v>366.69</v>
      </c>
      <c r="J641" s="2">
        <v>63.4</v>
      </c>
      <c r="K641" s="2" t="s">
        <v>56</v>
      </c>
      <c r="L641" s="2">
        <v>11</v>
      </c>
      <c r="M641" s="2">
        <v>2</v>
      </c>
      <c r="N641" s="2" t="s">
        <v>22</v>
      </c>
    </row>
    <row r="642" spans="1:14" x14ac:dyDescent="0.3">
      <c r="A642" s="2" t="s">
        <v>1156</v>
      </c>
      <c r="B642" s="2" t="s">
        <v>1157</v>
      </c>
      <c r="C642" s="2" t="s">
        <v>32</v>
      </c>
      <c r="D642" s="2" t="s">
        <v>59</v>
      </c>
      <c r="E642" s="2" t="s">
        <v>308</v>
      </c>
      <c r="F642" s="2" t="s">
        <v>35</v>
      </c>
      <c r="G642" s="2" t="s">
        <v>73</v>
      </c>
      <c r="H642" s="2">
        <v>2679.13</v>
      </c>
      <c r="I642" s="2">
        <v>2113.09</v>
      </c>
      <c r="J642" s="2">
        <v>566.04</v>
      </c>
      <c r="K642" s="2" t="s">
        <v>56</v>
      </c>
      <c r="L642" s="2">
        <v>6</v>
      </c>
      <c r="M642" s="2">
        <v>5</v>
      </c>
      <c r="N642" s="2" t="s">
        <v>29</v>
      </c>
    </row>
    <row r="643" spans="1:14" x14ac:dyDescent="0.3">
      <c r="A643" s="2" t="s">
        <v>1158</v>
      </c>
      <c r="B643" s="2" t="s">
        <v>1117</v>
      </c>
      <c r="C643" s="2" t="s">
        <v>115</v>
      </c>
      <c r="D643" s="2" t="s">
        <v>17</v>
      </c>
      <c r="E643" s="2" t="s">
        <v>26</v>
      </c>
      <c r="F643" s="2" t="s">
        <v>84</v>
      </c>
      <c r="G643" s="2" t="s">
        <v>20</v>
      </c>
      <c r="H643" s="2">
        <v>2859.93</v>
      </c>
      <c r="I643" s="2">
        <v>2182.6799999999998</v>
      </c>
      <c r="J643" s="2">
        <v>677.25</v>
      </c>
      <c r="K643" s="2" t="s">
        <v>21</v>
      </c>
      <c r="L643" s="2"/>
      <c r="M643" s="2">
        <v>2</v>
      </c>
      <c r="N643" s="2" t="s">
        <v>22</v>
      </c>
    </row>
    <row r="644" spans="1:14" x14ac:dyDescent="0.3">
      <c r="A644" s="2" t="s">
        <v>1159</v>
      </c>
      <c r="B644" s="2" t="s">
        <v>1160</v>
      </c>
      <c r="C644" s="2" t="s">
        <v>54</v>
      </c>
      <c r="D644" s="2" t="s">
        <v>17</v>
      </c>
      <c r="E644" s="2" t="s">
        <v>51</v>
      </c>
      <c r="F644" s="2" t="s">
        <v>40</v>
      </c>
      <c r="G644" s="2" t="s">
        <v>28</v>
      </c>
      <c r="H644" s="2">
        <v>2528.98</v>
      </c>
      <c r="I644" s="2">
        <v>1671.56</v>
      </c>
      <c r="J644" s="2">
        <v>857.42</v>
      </c>
      <c r="K644" s="2" t="s">
        <v>101</v>
      </c>
      <c r="L644" s="2">
        <v>5</v>
      </c>
      <c r="M644" s="2">
        <v>1</v>
      </c>
      <c r="N644" s="2" t="s">
        <v>22</v>
      </c>
    </row>
    <row r="645" spans="1:14" x14ac:dyDescent="0.3">
      <c r="A645" s="2" t="s">
        <v>1161</v>
      </c>
      <c r="B645" s="2" t="s">
        <v>239</v>
      </c>
      <c r="C645" s="2" t="s">
        <v>104</v>
      </c>
      <c r="D645" s="2" t="s">
        <v>17</v>
      </c>
      <c r="E645" s="2" t="s">
        <v>100</v>
      </c>
      <c r="F645" s="2" t="s">
        <v>498</v>
      </c>
      <c r="G645" s="2" t="s">
        <v>44</v>
      </c>
      <c r="H645" s="2">
        <v>2685.88</v>
      </c>
      <c r="I645" s="2">
        <v>1707.17</v>
      </c>
      <c r="J645" s="2">
        <v>978.71</v>
      </c>
      <c r="K645" s="2" t="s">
        <v>21</v>
      </c>
      <c r="L645" s="2"/>
      <c r="M645" s="2">
        <v>4</v>
      </c>
      <c r="N645" s="2" t="s">
        <v>22</v>
      </c>
    </row>
    <row r="646" spans="1:14" x14ac:dyDescent="0.3">
      <c r="A646" s="2" t="s">
        <v>1162</v>
      </c>
      <c r="B646" s="2" t="s">
        <v>948</v>
      </c>
      <c r="C646" s="2" t="s">
        <v>115</v>
      </c>
      <c r="D646" s="2" t="s">
        <v>42</v>
      </c>
      <c r="E646" s="2" t="s">
        <v>77</v>
      </c>
      <c r="F646" s="2" t="s">
        <v>27</v>
      </c>
      <c r="G646" s="2" t="s">
        <v>36</v>
      </c>
      <c r="H646" s="2">
        <v>2828.91</v>
      </c>
      <c r="I646" s="2">
        <v>2385.64</v>
      </c>
      <c r="J646" s="2">
        <v>443.27</v>
      </c>
      <c r="K646" s="2" t="s">
        <v>21</v>
      </c>
      <c r="L646" s="2"/>
      <c r="M646" s="2">
        <v>4</v>
      </c>
      <c r="N646" s="2" t="s">
        <v>22</v>
      </c>
    </row>
    <row r="647" spans="1:14" x14ac:dyDescent="0.3">
      <c r="A647" s="2" t="s">
        <v>1163</v>
      </c>
      <c r="B647" s="2" t="s">
        <v>346</v>
      </c>
      <c r="C647" s="2" t="s">
        <v>179</v>
      </c>
      <c r="D647" s="2" t="s">
        <v>59</v>
      </c>
      <c r="E647" s="2" t="s">
        <v>194</v>
      </c>
      <c r="F647" s="2" t="s">
        <v>35</v>
      </c>
      <c r="G647" s="2" t="s">
        <v>20</v>
      </c>
      <c r="H647" s="2">
        <v>3057.85</v>
      </c>
      <c r="I647" s="2">
        <v>1880.34</v>
      </c>
      <c r="J647" s="2">
        <v>1177.51</v>
      </c>
      <c r="K647" s="2" t="s">
        <v>56</v>
      </c>
      <c r="L647" s="2">
        <v>5</v>
      </c>
      <c r="M647" s="2">
        <v>2</v>
      </c>
      <c r="N647" s="2" t="s">
        <v>22</v>
      </c>
    </row>
    <row r="648" spans="1:14" x14ac:dyDescent="0.3">
      <c r="A648" s="2" t="s">
        <v>1164</v>
      </c>
      <c r="B648" s="2" t="s">
        <v>1165</v>
      </c>
      <c r="C648" s="2" t="s">
        <v>32</v>
      </c>
      <c r="D648" s="2" t="s">
        <v>42</v>
      </c>
      <c r="E648" s="2"/>
      <c r="F648" s="2" t="s">
        <v>84</v>
      </c>
      <c r="G648" s="2" t="s">
        <v>44</v>
      </c>
      <c r="H648" s="2">
        <v>3147.99</v>
      </c>
      <c r="I648" s="2">
        <v>2367.21</v>
      </c>
      <c r="J648" s="2">
        <v>780.78</v>
      </c>
      <c r="K648" s="2" t="s">
        <v>21</v>
      </c>
      <c r="L648" s="2"/>
      <c r="M648" s="2">
        <v>5</v>
      </c>
      <c r="N648" s="2" t="s">
        <v>29</v>
      </c>
    </row>
    <row r="649" spans="1:14" x14ac:dyDescent="0.3">
      <c r="A649" s="2" t="s">
        <v>1166</v>
      </c>
      <c r="B649" s="2" t="s">
        <v>1167</v>
      </c>
      <c r="C649" s="2" t="s">
        <v>115</v>
      </c>
      <c r="D649" s="2" t="s">
        <v>42</v>
      </c>
      <c r="E649" s="2" t="s">
        <v>262</v>
      </c>
      <c r="F649" s="2" t="s">
        <v>605</v>
      </c>
      <c r="G649" s="2" t="s">
        <v>73</v>
      </c>
      <c r="H649" s="2">
        <v>1327.78</v>
      </c>
      <c r="I649" s="2">
        <v>1100.03</v>
      </c>
      <c r="J649" s="2">
        <v>227.75</v>
      </c>
      <c r="K649" s="2" t="s">
        <v>21</v>
      </c>
      <c r="L649" s="2"/>
      <c r="M649" s="2">
        <v>4</v>
      </c>
      <c r="N649" s="2" t="s">
        <v>22</v>
      </c>
    </row>
    <row r="650" spans="1:14" x14ac:dyDescent="0.3">
      <c r="A650" s="2" t="s">
        <v>1168</v>
      </c>
      <c r="B650" s="2" t="s">
        <v>1169</v>
      </c>
      <c r="C650" s="2" t="s">
        <v>111</v>
      </c>
      <c r="D650" s="2" t="s">
        <v>42</v>
      </c>
      <c r="E650" s="2" t="s">
        <v>83</v>
      </c>
      <c r="F650" s="2" t="s">
        <v>19</v>
      </c>
      <c r="G650" s="2" t="s">
        <v>20</v>
      </c>
      <c r="H650" s="2">
        <v>1882.52</v>
      </c>
      <c r="I650" s="2">
        <v>1537.65</v>
      </c>
      <c r="J650" s="2">
        <v>344.87</v>
      </c>
      <c r="K650" s="2" t="s">
        <v>21</v>
      </c>
      <c r="L650" s="2"/>
      <c r="M650" s="2">
        <v>4</v>
      </c>
      <c r="N650" s="2" t="s">
        <v>22</v>
      </c>
    </row>
    <row r="651" spans="1:14" x14ac:dyDescent="0.3">
      <c r="A651" s="2" t="s">
        <v>1170</v>
      </c>
      <c r="B651" s="2" t="s">
        <v>1171</v>
      </c>
      <c r="C651" s="2" t="s">
        <v>115</v>
      </c>
      <c r="D651" s="2" t="s">
        <v>42</v>
      </c>
      <c r="E651" s="2" t="s">
        <v>262</v>
      </c>
      <c r="F651" s="2" t="s">
        <v>84</v>
      </c>
      <c r="G651" s="2" t="s">
        <v>20</v>
      </c>
      <c r="H651" s="2">
        <v>2517.1999999999998</v>
      </c>
      <c r="I651" s="2">
        <v>2071.62</v>
      </c>
      <c r="J651" s="2">
        <v>445.58</v>
      </c>
      <c r="K651" s="2" t="s">
        <v>56</v>
      </c>
      <c r="L651" s="2">
        <v>10</v>
      </c>
      <c r="M651" s="2">
        <v>3</v>
      </c>
      <c r="N651" s="2" t="s">
        <v>29</v>
      </c>
    </row>
    <row r="652" spans="1:14" x14ac:dyDescent="0.3">
      <c r="A652" s="2" t="s">
        <v>1172</v>
      </c>
      <c r="B652" s="2" t="s">
        <v>293</v>
      </c>
      <c r="C652" s="2" t="s">
        <v>76</v>
      </c>
      <c r="D652" s="2" t="s">
        <v>17</v>
      </c>
      <c r="E652" s="2" t="s">
        <v>226</v>
      </c>
      <c r="F652" s="2" t="s">
        <v>27</v>
      </c>
      <c r="G652" s="2" t="s">
        <v>44</v>
      </c>
      <c r="H652" s="2">
        <v>2178.58</v>
      </c>
      <c r="I652" s="2">
        <v>1631.68</v>
      </c>
      <c r="J652" s="2">
        <v>546.9</v>
      </c>
      <c r="K652" s="2" t="s">
        <v>21</v>
      </c>
      <c r="L652" s="2"/>
      <c r="M652" s="2">
        <v>4</v>
      </c>
      <c r="N652" s="2" t="s">
        <v>22</v>
      </c>
    </row>
    <row r="653" spans="1:14" x14ac:dyDescent="0.3">
      <c r="A653" s="2" t="s">
        <v>1173</v>
      </c>
      <c r="B653" s="2" t="s">
        <v>515</v>
      </c>
      <c r="C653" s="2" t="s">
        <v>124</v>
      </c>
      <c r="D653" s="2" t="s">
        <v>33</v>
      </c>
      <c r="E653" s="2" t="s">
        <v>205</v>
      </c>
      <c r="F653" s="2" t="s">
        <v>27</v>
      </c>
      <c r="G653" s="2" t="s">
        <v>20</v>
      </c>
      <c r="H653" s="2">
        <v>2726</v>
      </c>
      <c r="I653" s="2">
        <v>1947.46</v>
      </c>
      <c r="J653" s="2">
        <v>778.54</v>
      </c>
      <c r="K653" s="2" t="s">
        <v>56</v>
      </c>
      <c r="L653" s="2">
        <v>7</v>
      </c>
      <c r="M653" s="2">
        <v>5</v>
      </c>
      <c r="N653" s="2" t="s">
        <v>22</v>
      </c>
    </row>
    <row r="654" spans="1:14" x14ac:dyDescent="0.3">
      <c r="A654" s="2" t="s">
        <v>1174</v>
      </c>
      <c r="B654" s="2" t="s">
        <v>473</v>
      </c>
      <c r="C654" s="2" t="s">
        <v>115</v>
      </c>
      <c r="D654" s="2" t="s">
        <v>42</v>
      </c>
      <c r="E654" s="2" t="s">
        <v>80</v>
      </c>
      <c r="F654" s="2" t="s">
        <v>27</v>
      </c>
      <c r="G654" s="2" t="s">
        <v>28</v>
      </c>
      <c r="H654" s="2">
        <v>2413.63</v>
      </c>
      <c r="I654" s="2">
        <v>1906.1</v>
      </c>
      <c r="J654" s="2">
        <v>507.53</v>
      </c>
      <c r="K654" s="2" t="s">
        <v>56</v>
      </c>
      <c r="L654" s="2">
        <v>7</v>
      </c>
      <c r="M654" s="2">
        <v>5</v>
      </c>
      <c r="N654" s="2" t="s">
        <v>22</v>
      </c>
    </row>
    <row r="655" spans="1:14" x14ac:dyDescent="0.3">
      <c r="A655" s="2" t="s">
        <v>976</v>
      </c>
      <c r="B655" s="2" t="s">
        <v>977</v>
      </c>
      <c r="C655" s="2" t="s">
        <v>76</v>
      </c>
      <c r="D655" s="2" t="s">
        <v>33</v>
      </c>
      <c r="E655" s="2" t="s">
        <v>39</v>
      </c>
      <c r="F655" s="2" t="s">
        <v>87</v>
      </c>
      <c r="G655" s="2" t="s">
        <v>44</v>
      </c>
      <c r="H655" s="2">
        <v>2132.56</v>
      </c>
      <c r="I655" s="2">
        <v>1482.47</v>
      </c>
      <c r="J655" s="2">
        <v>650.09</v>
      </c>
      <c r="K655" s="2" t="s">
        <v>21</v>
      </c>
      <c r="L655" s="2"/>
      <c r="M655" s="2">
        <v>5</v>
      </c>
      <c r="N655" s="2" t="s">
        <v>22</v>
      </c>
    </row>
    <row r="656" spans="1:14" x14ac:dyDescent="0.3">
      <c r="A656" s="2" t="s">
        <v>1175</v>
      </c>
      <c r="B656" s="2" t="s">
        <v>847</v>
      </c>
      <c r="C656" s="2" t="s">
        <v>64</v>
      </c>
      <c r="D656" s="2" t="s">
        <v>59</v>
      </c>
      <c r="E656" s="2" t="s">
        <v>301</v>
      </c>
      <c r="F656" s="2" t="s">
        <v>40</v>
      </c>
      <c r="G656" s="2" t="s">
        <v>44</v>
      </c>
      <c r="H656" s="2">
        <v>1019.86</v>
      </c>
      <c r="I656" s="2">
        <v>707.56</v>
      </c>
      <c r="J656" s="2">
        <v>312.3</v>
      </c>
      <c r="K656" s="2" t="s">
        <v>21</v>
      </c>
      <c r="L656" s="2"/>
      <c r="M656" s="2">
        <v>4</v>
      </c>
      <c r="N656" s="2" t="s">
        <v>22</v>
      </c>
    </row>
    <row r="657" spans="1:14" x14ac:dyDescent="0.3">
      <c r="A657" s="2" t="s">
        <v>1176</v>
      </c>
      <c r="B657" s="2" t="s">
        <v>541</v>
      </c>
      <c r="C657" s="2" t="s">
        <v>16</v>
      </c>
      <c r="D657" s="2" t="s">
        <v>33</v>
      </c>
      <c r="E657" s="2" t="s">
        <v>205</v>
      </c>
      <c r="F657" s="2" t="s">
        <v>40</v>
      </c>
      <c r="G657" s="2" t="s">
        <v>36</v>
      </c>
      <c r="H657" s="2">
        <v>2060.7399999999998</v>
      </c>
      <c r="I657" s="2">
        <v>1377.47</v>
      </c>
      <c r="J657" s="2">
        <v>683.27</v>
      </c>
      <c r="K657" s="2" t="s">
        <v>21</v>
      </c>
      <c r="L657" s="2"/>
      <c r="M657" s="2">
        <v>5</v>
      </c>
      <c r="N657" s="2" t="s">
        <v>22</v>
      </c>
    </row>
    <row r="658" spans="1:14" x14ac:dyDescent="0.3">
      <c r="A658" s="2" t="s">
        <v>1177</v>
      </c>
      <c r="B658" s="2" t="s">
        <v>1119</v>
      </c>
      <c r="C658" s="2" t="s">
        <v>179</v>
      </c>
      <c r="D658" s="2" t="s">
        <v>59</v>
      </c>
      <c r="E658" s="2" t="s">
        <v>60</v>
      </c>
      <c r="F658" s="2" t="s">
        <v>27</v>
      </c>
      <c r="G658" s="2" t="s">
        <v>28</v>
      </c>
      <c r="H658" s="2">
        <v>3247.25</v>
      </c>
      <c r="I658" s="2">
        <v>2412.2199999999998</v>
      </c>
      <c r="J658" s="2">
        <v>835.03</v>
      </c>
      <c r="K658" s="2" t="s">
        <v>21</v>
      </c>
      <c r="L658" s="2"/>
      <c r="M658" s="2">
        <v>5</v>
      </c>
      <c r="N658" s="2" t="s">
        <v>22</v>
      </c>
    </row>
    <row r="659" spans="1:14" x14ac:dyDescent="0.3">
      <c r="A659" s="2" t="s">
        <v>1178</v>
      </c>
      <c r="B659" s="2" t="s">
        <v>812</v>
      </c>
      <c r="C659" s="2" t="s">
        <v>124</v>
      </c>
      <c r="D659" s="2" t="s">
        <v>328</v>
      </c>
      <c r="E659" s="2" t="s">
        <v>72</v>
      </c>
      <c r="F659" s="2" t="s">
        <v>87</v>
      </c>
      <c r="G659" s="2" t="s">
        <v>36</v>
      </c>
      <c r="H659" s="2">
        <v>2121.87</v>
      </c>
      <c r="I659" s="2">
        <v>1287.51</v>
      </c>
      <c r="J659" s="2">
        <v>834.36</v>
      </c>
      <c r="K659" s="2" t="s">
        <v>101</v>
      </c>
      <c r="L659" s="2"/>
      <c r="M659" s="2">
        <v>5</v>
      </c>
      <c r="N659" s="2" t="s">
        <v>29</v>
      </c>
    </row>
    <row r="660" spans="1:14" x14ac:dyDescent="0.3">
      <c r="A660" s="2" t="s">
        <v>1179</v>
      </c>
      <c r="B660" s="2" t="s">
        <v>1180</v>
      </c>
      <c r="C660" s="2" t="s">
        <v>76</v>
      </c>
      <c r="D660" s="2" t="s">
        <v>17</v>
      </c>
      <c r="E660" s="2" t="s">
        <v>100</v>
      </c>
      <c r="F660" s="2" t="s">
        <v>27</v>
      </c>
      <c r="G660" s="2" t="s">
        <v>299</v>
      </c>
      <c r="H660" s="2">
        <v>1222.3900000000001</v>
      </c>
      <c r="I660" s="2">
        <v>848.58</v>
      </c>
      <c r="J660" s="2">
        <v>373.81</v>
      </c>
      <c r="K660" s="2" t="s">
        <v>90</v>
      </c>
      <c r="L660" s="2"/>
      <c r="M660" s="2">
        <v>4</v>
      </c>
      <c r="N660" s="2" t="s">
        <v>22</v>
      </c>
    </row>
    <row r="661" spans="1:14" x14ac:dyDescent="0.3">
      <c r="A661" s="2" t="s">
        <v>1181</v>
      </c>
      <c r="B661" s="2" t="s">
        <v>1169</v>
      </c>
      <c r="C661" s="2" t="s">
        <v>111</v>
      </c>
      <c r="D661" s="2" t="s">
        <v>59</v>
      </c>
      <c r="E661" s="2" t="s">
        <v>60</v>
      </c>
      <c r="F661" s="2" t="s">
        <v>84</v>
      </c>
      <c r="G661" s="2" t="s">
        <v>28</v>
      </c>
      <c r="H661" s="2">
        <v>2880.37</v>
      </c>
      <c r="I661" s="2">
        <v>1754.34</v>
      </c>
      <c r="J661" s="2">
        <v>1126.03</v>
      </c>
      <c r="K661" s="2" t="s">
        <v>21</v>
      </c>
      <c r="L661" s="2"/>
      <c r="M661" s="2">
        <v>3</v>
      </c>
      <c r="N661" s="2" t="s">
        <v>22</v>
      </c>
    </row>
    <row r="662" spans="1:14" x14ac:dyDescent="0.3">
      <c r="A662" s="2" t="s">
        <v>1182</v>
      </c>
      <c r="B662" s="2" t="s">
        <v>1183</v>
      </c>
      <c r="C662" s="2" t="s">
        <v>76</v>
      </c>
      <c r="D662" s="2" t="s">
        <v>7</v>
      </c>
      <c r="E662" s="2" t="s">
        <v>69</v>
      </c>
      <c r="F662" s="2" t="s">
        <v>27</v>
      </c>
      <c r="G662" s="2" t="s">
        <v>28</v>
      </c>
      <c r="H662" s="2">
        <v>1638.76</v>
      </c>
      <c r="I662" s="2">
        <v>1078.4100000000001</v>
      </c>
      <c r="J662" s="2">
        <v>560.35</v>
      </c>
      <c r="K662" s="2" t="s">
        <v>56</v>
      </c>
      <c r="L662" s="2">
        <v>5</v>
      </c>
      <c r="M662" s="2">
        <v>3</v>
      </c>
      <c r="N662" s="2" t="s">
        <v>29</v>
      </c>
    </row>
    <row r="663" spans="1:14" x14ac:dyDescent="0.3">
      <c r="A663" s="2" t="s">
        <v>1184</v>
      </c>
      <c r="B663" s="2" t="s">
        <v>1185</v>
      </c>
      <c r="C663" s="2" t="s">
        <v>115</v>
      </c>
      <c r="D663" s="2" t="s">
        <v>7</v>
      </c>
      <c r="E663" s="2" t="s">
        <v>131</v>
      </c>
      <c r="F663" s="2" t="s">
        <v>27</v>
      </c>
      <c r="G663" s="2" t="s">
        <v>44</v>
      </c>
      <c r="H663" s="2">
        <v>2955.41</v>
      </c>
      <c r="I663" s="2">
        <v>2268.63</v>
      </c>
      <c r="J663" s="2">
        <v>686.78</v>
      </c>
      <c r="K663" s="2" t="s">
        <v>56</v>
      </c>
      <c r="L663" s="2">
        <v>4</v>
      </c>
      <c r="M663" s="2">
        <v>1</v>
      </c>
      <c r="N663" s="2" t="s">
        <v>22</v>
      </c>
    </row>
    <row r="664" spans="1:14" x14ac:dyDescent="0.3">
      <c r="A664" s="2" t="s">
        <v>1186</v>
      </c>
      <c r="B664" s="2" t="s">
        <v>82</v>
      </c>
      <c r="C664" s="2" t="s">
        <v>54</v>
      </c>
      <c r="D664" s="2" t="s">
        <v>42</v>
      </c>
      <c r="E664" s="2" t="s">
        <v>83</v>
      </c>
      <c r="F664" s="2" t="s">
        <v>27</v>
      </c>
      <c r="G664" s="2" t="s">
        <v>28</v>
      </c>
      <c r="H664" s="2">
        <v>969.05</v>
      </c>
      <c r="I664" s="2">
        <v>681.83</v>
      </c>
      <c r="J664" s="2">
        <v>287.22000000000003</v>
      </c>
      <c r="K664" s="2" t="s">
        <v>21</v>
      </c>
      <c r="L664" s="2"/>
      <c r="M664" s="2">
        <v>4</v>
      </c>
      <c r="N664" s="2" t="s">
        <v>22</v>
      </c>
    </row>
    <row r="665" spans="1:14" x14ac:dyDescent="0.3">
      <c r="A665" s="2" t="s">
        <v>1187</v>
      </c>
      <c r="B665" s="2" t="s">
        <v>99</v>
      </c>
      <c r="C665" s="2" t="s">
        <v>64</v>
      </c>
      <c r="D665" s="2" t="s">
        <v>59</v>
      </c>
      <c r="E665" s="2" t="s">
        <v>308</v>
      </c>
      <c r="F665" s="2" t="s">
        <v>87</v>
      </c>
      <c r="G665" s="2" t="s">
        <v>44</v>
      </c>
      <c r="H665" s="2">
        <v>2908.1</v>
      </c>
      <c r="I665" s="2">
        <v>1608.83</v>
      </c>
      <c r="J665" s="2">
        <v>1299.27</v>
      </c>
      <c r="K665" s="2" t="s">
        <v>21</v>
      </c>
      <c r="L665" s="2"/>
      <c r="M665" s="2">
        <v>4</v>
      </c>
      <c r="N665" s="2" t="s">
        <v>22</v>
      </c>
    </row>
    <row r="666" spans="1:14" x14ac:dyDescent="0.3">
      <c r="A666" s="2" t="s">
        <v>1188</v>
      </c>
      <c r="B666" s="2" t="s">
        <v>1189</v>
      </c>
      <c r="C666" s="2" t="s">
        <v>68</v>
      </c>
      <c r="D666" s="2" t="s">
        <v>59</v>
      </c>
      <c r="E666" s="2" t="s">
        <v>116</v>
      </c>
      <c r="F666" s="2" t="s">
        <v>40</v>
      </c>
      <c r="G666" s="2" t="s">
        <v>36</v>
      </c>
      <c r="H666" s="2">
        <v>1147.45</v>
      </c>
      <c r="I666" s="2">
        <v>694.68</v>
      </c>
      <c r="J666" s="2">
        <v>452.77</v>
      </c>
      <c r="K666" s="2" t="s">
        <v>21</v>
      </c>
      <c r="L666" s="2"/>
      <c r="M666" s="2">
        <v>5</v>
      </c>
      <c r="N666" s="2" t="s">
        <v>29</v>
      </c>
    </row>
    <row r="667" spans="1:14" x14ac:dyDescent="0.3">
      <c r="A667" s="2" t="s">
        <v>1186</v>
      </c>
      <c r="B667" s="2" t="s">
        <v>82</v>
      </c>
      <c r="C667" s="2" t="s">
        <v>54</v>
      </c>
      <c r="D667" s="2" t="s">
        <v>42</v>
      </c>
      <c r="E667" s="2" t="s">
        <v>83</v>
      </c>
      <c r="F667" s="2" t="s">
        <v>27</v>
      </c>
      <c r="G667" s="2" t="s">
        <v>28</v>
      </c>
      <c r="H667" s="2">
        <v>969.05</v>
      </c>
      <c r="I667" s="2">
        <v>681.83</v>
      </c>
      <c r="J667" s="2">
        <v>287.22000000000003</v>
      </c>
      <c r="K667" s="2" t="s">
        <v>21</v>
      </c>
      <c r="L667" s="2"/>
      <c r="M667" s="2">
        <v>4</v>
      </c>
      <c r="N667" s="2" t="s">
        <v>22</v>
      </c>
    </row>
    <row r="668" spans="1:14" x14ac:dyDescent="0.3">
      <c r="A668" s="2" t="s">
        <v>1190</v>
      </c>
      <c r="B668" s="2" t="s">
        <v>1191</v>
      </c>
      <c r="C668" s="2" t="s">
        <v>68</v>
      </c>
      <c r="D668" s="2" t="s">
        <v>17</v>
      </c>
      <c r="E668" s="2" t="s">
        <v>72</v>
      </c>
      <c r="F668" s="2" t="s">
        <v>19</v>
      </c>
      <c r="G668" s="2" t="s">
        <v>28</v>
      </c>
      <c r="H668" s="2">
        <v>3138.41</v>
      </c>
      <c r="I668" s="2">
        <v>2207.02</v>
      </c>
      <c r="J668" s="2">
        <v>931.39</v>
      </c>
      <c r="K668" s="2" t="s">
        <v>21</v>
      </c>
      <c r="L668" s="2"/>
      <c r="M668" s="2">
        <v>5</v>
      </c>
      <c r="N668" s="2" t="s">
        <v>22</v>
      </c>
    </row>
    <row r="669" spans="1:14" x14ac:dyDescent="0.3">
      <c r="A669" s="2" t="s">
        <v>1192</v>
      </c>
      <c r="B669" s="2" t="s">
        <v>1193</v>
      </c>
      <c r="C669" s="2" t="s">
        <v>124</v>
      </c>
      <c r="D669" s="2" t="s">
        <v>42</v>
      </c>
      <c r="E669" s="2" t="s">
        <v>80</v>
      </c>
      <c r="F669" s="2" t="s">
        <v>87</v>
      </c>
      <c r="G669" s="2" t="s">
        <v>36</v>
      </c>
      <c r="H669" s="2">
        <v>1149.43</v>
      </c>
      <c r="I669" s="2">
        <v>984.7</v>
      </c>
      <c r="J669" s="2">
        <v>164.73</v>
      </c>
      <c r="K669" s="2" t="s">
        <v>21</v>
      </c>
      <c r="L669" s="2"/>
      <c r="M669" s="2">
        <v>4</v>
      </c>
      <c r="N669" s="2" t="s">
        <v>22</v>
      </c>
    </row>
    <row r="670" spans="1:14" x14ac:dyDescent="0.3">
      <c r="A670" s="2" t="s">
        <v>1194</v>
      </c>
      <c r="B670" s="2" t="s">
        <v>268</v>
      </c>
      <c r="C670" s="2" t="s">
        <v>68</v>
      </c>
      <c r="D670" s="2" t="s">
        <v>59</v>
      </c>
      <c r="E670" s="2" t="s">
        <v>308</v>
      </c>
      <c r="F670" s="2" t="s">
        <v>27</v>
      </c>
      <c r="G670" s="2" t="s">
        <v>36</v>
      </c>
      <c r="H670" s="2">
        <v>2277.62</v>
      </c>
      <c r="I670" s="2">
        <v>1536.28</v>
      </c>
      <c r="J670" s="2">
        <v>741.34</v>
      </c>
      <c r="K670" s="2" t="s">
        <v>21</v>
      </c>
      <c r="L670" s="2"/>
      <c r="M670" s="2">
        <v>4</v>
      </c>
      <c r="N670" s="2" t="s">
        <v>22</v>
      </c>
    </row>
    <row r="671" spans="1:14" x14ac:dyDescent="0.3">
      <c r="A671" s="2" t="s">
        <v>1195</v>
      </c>
      <c r="B671" s="2" t="s">
        <v>711</v>
      </c>
      <c r="C671" s="2" t="s">
        <v>32</v>
      </c>
      <c r="D671" s="2" t="s">
        <v>59</v>
      </c>
      <c r="E671" s="2" t="s">
        <v>490</v>
      </c>
      <c r="F671" s="2" t="s">
        <v>40</v>
      </c>
      <c r="G671" s="2" t="s">
        <v>20</v>
      </c>
      <c r="H671" s="2">
        <v>2484.73</v>
      </c>
      <c r="I671" s="2">
        <v>1386.32</v>
      </c>
      <c r="J671" s="2">
        <v>1098.4100000000001</v>
      </c>
      <c r="K671" s="2" t="s">
        <v>21</v>
      </c>
      <c r="L671" s="2"/>
      <c r="M671" s="2">
        <v>2</v>
      </c>
      <c r="N671" s="2" t="s">
        <v>22</v>
      </c>
    </row>
    <row r="672" spans="1:14" x14ac:dyDescent="0.3">
      <c r="A672" s="2" t="s">
        <v>1196</v>
      </c>
      <c r="B672" s="2" t="s">
        <v>616</v>
      </c>
      <c r="C672" s="2" t="s">
        <v>54</v>
      </c>
      <c r="D672" s="2" t="s">
        <v>787</v>
      </c>
      <c r="E672" s="2" t="s">
        <v>297</v>
      </c>
      <c r="F672" s="2" t="s">
        <v>35</v>
      </c>
      <c r="G672" s="2" t="s">
        <v>176</v>
      </c>
      <c r="H672" s="2">
        <v>1050.3699999999999</v>
      </c>
      <c r="I672" s="2">
        <v>620.82000000000005</v>
      </c>
      <c r="J672" s="2">
        <v>429.55</v>
      </c>
      <c r="K672" s="2" t="s">
        <v>21</v>
      </c>
      <c r="L672" s="2"/>
      <c r="M672" s="2">
        <v>3</v>
      </c>
      <c r="N672" s="2" t="s">
        <v>22</v>
      </c>
    </row>
    <row r="673" spans="1:14" x14ac:dyDescent="0.3">
      <c r="A673" s="2" t="s">
        <v>1197</v>
      </c>
      <c r="B673" s="2" t="s">
        <v>767</v>
      </c>
      <c r="C673" s="2" t="s">
        <v>76</v>
      </c>
      <c r="D673" s="2" t="s">
        <v>17</v>
      </c>
      <c r="E673" s="2" t="s">
        <v>18</v>
      </c>
      <c r="F673" s="2" t="s">
        <v>27</v>
      </c>
      <c r="G673" s="2" t="s">
        <v>73</v>
      </c>
      <c r="H673" s="2">
        <v>2884.9</v>
      </c>
      <c r="I673" s="2">
        <v>1587.83</v>
      </c>
      <c r="J673" s="2">
        <v>1297.07</v>
      </c>
      <c r="K673" s="2" t="s">
        <v>21</v>
      </c>
      <c r="L673" s="2"/>
      <c r="M673" s="2">
        <v>4</v>
      </c>
      <c r="N673" s="2" t="s">
        <v>22</v>
      </c>
    </row>
    <row r="674" spans="1:14" x14ac:dyDescent="0.3">
      <c r="A674" s="2" t="s">
        <v>1198</v>
      </c>
      <c r="B674" s="2" t="s">
        <v>1133</v>
      </c>
      <c r="C674" s="2" t="s">
        <v>115</v>
      </c>
      <c r="D674" s="2" t="s">
        <v>59</v>
      </c>
      <c r="E674" s="2" t="s">
        <v>301</v>
      </c>
      <c r="F674" s="2" t="s">
        <v>19</v>
      </c>
      <c r="G674" s="2" t="s">
        <v>20</v>
      </c>
      <c r="H674" s="2">
        <v>507.29</v>
      </c>
      <c r="I674" s="2">
        <v>327.38</v>
      </c>
      <c r="J674" s="2">
        <v>179.91</v>
      </c>
      <c r="K674" s="2" t="s">
        <v>21</v>
      </c>
      <c r="L674" s="2"/>
      <c r="M674" s="2">
        <v>4</v>
      </c>
      <c r="N674" s="2" t="s">
        <v>22</v>
      </c>
    </row>
    <row r="675" spans="1:14" x14ac:dyDescent="0.3">
      <c r="A675" s="2" t="s">
        <v>1199</v>
      </c>
      <c r="B675" s="2" t="s">
        <v>1200</v>
      </c>
      <c r="C675" s="2" t="s">
        <v>54</v>
      </c>
      <c r="D675" s="2" t="s">
        <v>33</v>
      </c>
      <c r="E675" s="2" t="s">
        <v>171</v>
      </c>
      <c r="F675" s="2" t="s">
        <v>19</v>
      </c>
      <c r="G675" s="2" t="s">
        <v>28</v>
      </c>
      <c r="H675" s="2">
        <v>3481.8</v>
      </c>
      <c r="I675" s="2">
        <v>2219.63</v>
      </c>
      <c r="J675" s="2">
        <v>1262.17</v>
      </c>
      <c r="K675" s="2" t="s">
        <v>21</v>
      </c>
      <c r="L675" s="2"/>
      <c r="M675" s="2">
        <v>5</v>
      </c>
      <c r="N675" s="2" t="s">
        <v>22</v>
      </c>
    </row>
    <row r="676" spans="1:14" x14ac:dyDescent="0.3">
      <c r="A676" s="2" t="s">
        <v>1201</v>
      </c>
      <c r="B676" s="2" t="s">
        <v>1202</v>
      </c>
      <c r="C676" s="2" t="s">
        <v>64</v>
      </c>
      <c r="D676" s="2" t="s">
        <v>17</v>
      </c>
      <c r="E676" s="2" t="s">
        <v>96</v>
      </c>
      <c r="F676" s="2" t="s">
        <v>87</v>
      </c>
      <c r="G676" s="2" t="s">
        <v>20</v>
      </c>
      <c r="H676" s="2">
        <v>2187.8000000000002</v>
      </c>
      <c r="I676" s="2">
        <v>1239.21</v>
      </c>
      <c r="J676" s="2">
        <v>948.59</v>
      </c>
      <c r="K676" s="2" t="s">
        <v>21</v>
      </c>
      <c r="L676" s="2"/>
      <c r="M676" s="2">
        <v>5</v>
      </c>
      <c r="N676" s="2" t="s">
        <v>22</v>
      </c>
    </row>
    <row r="677" spans="1:14" x14ac:dyDescent="0.3">
      <c r="A677" s="2" t="s">
        <v>1203</v>
      </c>
      <c r="B677" s="2" t="s">
        <v>1204</v>
      </c>
      <c r="C677" s="2" t="s">
        <v>54</v>
      </c>
      <c r="D677" s="2" t="s">
        <v>7</v>
      </c>
      <c r="E677" s="2" t="s">
        <v>69</v>
      </c>
      <c r="F677" s="2" t="s">
        <v>87</v>
      </c>
      <c r="G677" s="2" t="s">
        <v>44</v>
      </c>
      <c r="H677" s="2">
        <v>2354.04</v>
      </c>
      <c r="I677" s="2">
        <v>1604.17</v>
      </c>
      <c r="J677" s="2">
        <v>749.87</v>
      </c>
      <c r="K677" s="2" t="s">
        <v>56</v>
      </c>
      <c r="L677" s="2">
        <v>2</v>
      </c>
      <c r="M677" s="2">
        <v>1</v>
      </c>
      <c r="N677" s="2" t="s">
        <v>22</v>
      </c>
    </row>
    <row r="678" spans="1:14" x14ac:dyDescent="0.3">
      <c r="A678" s="2" t="s">
        <v>1205</v>
      </c>
      <c r="B678" s="2" t="s">
        <v>1206</v>
      </c>
      <c r="C678" s="2" t="s">
        <v>16</v>
      </c>
      <c r="D678" s="2" t="s">
        <v>59</v>
      </c>
      <c r="E678" s="2" t="s">
        <v>301</v>
      </c>
      <c r="F678" s="2" t="s">
        <v>84</v>
      </c>
      <c r="G678" s="2" t="s">
        <v>44</v>
      </c>
      <c r="H678" s="2">
        <v>2845.77</v>
      </c>
      <c r="I678" s="2">
        <v>1879.53</v>
      </c>
      <c r="J678" s="2">
        <v>966.24</v>
      </c>
      <c r="K678" s="2" t="s">
        <v>21</v>
      </c>
      <c r="L678" s="2"/>
      <c r="M678" s="2">
        <v>1</v>
      </c>
      <c r="N678" s="2" t="s">
        <v>22</v>
      </c>
    </row>
    <row r="679" spans="1:14" x14ac:dyDescent="0.3">
      <c r="A679" s="2" t="s">
        <v>1207</v>
      </c>
      <c r="B679" s="2" t="s">
        <v>1208</v>
      </c>
      <c r="C679" s="2" t="s">
        <v>68</v>
      </c>
      <c r="D679" s="2" t="s">
        <v>7</v>
      </c>
      <c r="E679" s="2" t="s">
        <v>65</v>
      </c>
      <c r="F679" s="2" t="s">
        <v>87</v>
      </c>
      <c r="G679" s="2" t="s">
        <v>28</v>
      </c>
      <c r="H679" s="2">
        <v>1628.29</v>
      </c>
      <c r="I679" s="2">
        <v>950.81</v>
      </c>
      <c r="J679" s="2">
        <v>677.48</v>
      </c>
      <c r="K679" s="2" t="s">
        <v>21</v>
      </c>
      <c r="L679" s="2"/>
      <c r="M679" s="2">
        <v>4</v>
      </c>
      <c r="N679" s="2" t="s">
        <v>22</v>
      </c>
    </row>
    <row r="680" spans="1:14" x14ac:dyDescent="0.3">
      <c r="A680" s="2" t="s">
        <v>1209</v>
      </c>
      <c r="B680" s="2" t="s">
        <v>477</v>
      </c>
      <c r="C680" s="2" t="s">
        <v>64</v>
      </c>
      <c r="D680" s="2" t="s">
        <v>7</v>
      </c>
      <c r="E680" s="2" t="s">
        <v>69</v>
      </c>
      <c r="F680" s="2" t="s">
        <v>19</v>
      </c>
      <c r="G680" s="2" t="s">
        <v>73</v>
      </c>
      <c r="H680" s="2">
        <v>1281.28</v>
      </c>
      <c r="I680" s="2">
        <v>729.29</v>
      </c>
      <c r="J680" s="2">
        <v>551.99</v>
      </c>
      <c r="K680" s="2" t="s">
        <v>21</v>
      </c>
      <c r="L680" s="2"/>
      <c r="M680" s="2">
        <v>5</v>
      </c>
      <c r="N680" s="2" t="s">
        <v>22</v>
      </c>
    </row>
    <row r="681" spans="1:14" x14ac:dyDescent="0.3">
      <c r="A681" s="2" t="s">
        <v>1210</v>
      </c>
      <c r="B681" s="2" t="s">
        <v>433</v>
      </c>
      <c r="C681" s="2" t="s">
        <v>68</v>
      </c>
      <c r="D681" s="2" t="s">
        <v>33</v>
      </c>
      <c r="E681" s="2" t="s">
        <v>205</v>
      </c>
      <c r="F681" s="2" t="s">
        <v>87</v>
      </c>
      <c r="G681" s="2" t="s">
        <v>36</v>
      </c>
      <c r="H681" s="2">
        <v>3107.66</v>
      </c>
      <c r="I681" s="2">
        <v>1885.4</v>
      </c>
      <c r="J681" s="2">
        <v>1222.26</v>
      </c>
      <c r="K681" s="2" t="s">
        <v>21</v>
      </c>
      <c r="L681" s="2"/>
      <c r="M681" s="2">
        <v>5</v>
      </c>
      <c r="N681" s="2" t="s">
        <v>22</v>
      </c>
    </row>
    <row r="682" spans="1:14" x14ac:dyDescent="0.3">
      <c r="A682" s="2" t="s">
        <v>1211</v>
      </c>
      <c r="B682" s="2" t="s">
        <v>1212</v>
      </c>
      <c r="C682" s="2" t="s">
        <v>25</v>
      </c>
      <c r="D682" s="2" t="s">
        <v>42</v>
      </c>
      <c r="E682" s="2" t="s">
        <v>80</v>
      </c>
      <c r="F682" s="2" t="s">
        <v>40</v>
      </c>
      <c r="G682" s="2" t="s">
        <v>28</v>
      </c>
      <c r="H682" s="2">
        <v>171.82</v>
      </c>
      <c r="I682" s="2">
        <v>152.49</v>
      </c>
      <c r="J682" s="2">
        <v>19.329999999999998</v>
      </c>
      <c r="K682" s="2" t="s">
        <v>21</v>
      </c>
      <c r="L682" s="2"/>
      <c r="M682" s="2">
        <v>4</v>
      </c>
      <c r="N682" s="2" t="s">
        <v>22</v>
      </c>
    </row>
    <row r="683" spans="1:14" x14ac:dyDescent="0.3">
      <c r="A683" s="2" t="s">
        <v>1213</v>
      </c>
      <c r="B683" s="2" t="s">
        <v>477</v>
      </c>
      <c r="C683" s="2" t="s">
        <v>64</v>
      </c>
      <c r="D683" s="2" t="s">
        <v>42</v>
      </c>
      <c r="E683" s="2" t="s">
        <v>77</v>
      </c>
      <c r="F683" s="2" t="s">
        <v>27</v>
      </c>
      <c r="G683" s="2" t="s">
        <v>36</v>
      </c>
      <c r="H683" s="2">
        <v>3318.66</v>
      </c>
      <c r="I683" s="2">
        <v>3013.25</v>
      </c>
      <c r="J683" s="2">
        <v>305.41000000000003</v>
      </c>
      <c r="K683" s="2" t="s">
        <v>21</v>
      </c>
      <c r="L683" s="2"/>
      <c r="M683" s="2">
        <v>4</v>
      </c>
      <c r="N683" s="2" t="s">
        <v>22</v>
      </c>
    </row>
    <row r="684" spans="1:14" x14ac:dyDescent="0.3">
      <c r="A684" s="2" t="s">
        <v>1214</v>
      </c>
      <c r="B684" s="2" t="s">
        <v>452</v>
      </c>
      <c r="C684" s="2" t="s">
        <v>68</v>
      </c>
      <c r="D684" s="2" t="s">
        <v>17</v>
      </c>
      <c r="E684" s="2" t="s">
        <v>26</v>
      </c>
      <c r="F684" s="2" t="s">
        <v>87</v>
      </c>
      <c r="G684" s="2" t="s">
        <v>36</v>
      </c>
      <c r="H684" s="2">
        <v>2836.07</v>
      </c>
      <c r="I684" s="2">
        <v>2081.59</v>
      </c>
      <c r="J684" s="2">
        <v>754.48</v>
      </c>
      <c r="K684" s="2" t="s">
        <v>21</v>
      </c>
      <c r="L684" s="2"/>
      <c r="M684" s="2">
        <v>4</v>
      </c>
      <c r="N684" s="2" t="s">
        <v>22</v>
      </c>
    </row>
    <row r="685" spans="1:14" x14ac:dyDescent="0.3">
      <c r="A685" s="2" t="s">
        <v>350</v>
      </c>
      <c r="B685" s="2" t="s">
        <v>351</v>
      </c>
      <c r="C685" s="2" t="s">
        <v>76</v>
      </c>
      <c r="D685" s="2" t="s">
        <v>33</v>
      </c>
      <c r="E685" s="2" t="s">
        <v>119</v>
      </c>
      <c r="F685" s="2" t="s">
        <v>19</v>
      </c>
      <c r="G685" s="2" t="s">
        <v>36</v>
      </c>
      <c r="H685" s="2">
        <v>1239.0899999999999</v>
      </c>
      <c r="I685" s="2">
        <v>794.16</v>
      </c>
      <c r="J685" s="2">
        <v>444.93</v>
      </c>
      <c r="K685" s="2" t="s">
        <v>21</v>
      </c>
      <c r="L685" s="2"/>
      <c r="M685" s="2">
        <v>4</v>
      </c>
      <c r="N685" s="2" t="s">
        <v>22</v>
      </c>
    </row>
    <row r="686" spans="1:14" x14ac:dyDescent="0.3">
      <c r="A686" s="2" t="s">
        <v>1215</v>
      </c>
      <c r="B686" s="2" t="s">
        <v>1216</v>
      </c>
      <c r="C686" s="2" t="s">
        <v>115</v>
      </c>
      <c r="D686" s="2" t="s">
        <v>59</v>
      </c>
      <c r="E686" s="2" t="s">
        <v>301</v>
      </c>
      <c r="F686" s="2" t="s">
        <v>27</v>
      </c>
      <c r="G686" s="2" t="s">
        <v>44</v>
      </c>
      <c r="H686" s="2">
        <v>360.27</v>
      </c>
      <c r="I686" s="2">
        <v>257.23</v>
      </c>
      <c r="J686" s="2">
        <v>103.04</v>
      </c>
      <c r="K686" s="2" t="s">
        <v>21</v>
      </c>
      <c r="L686" s="2"/>
      <c r="M686" s="2">
        <v>4</v>
      </c>
      <c r="N686" s="2" t="s">
        <v>22</v>
      </c>
    </row>
    <row r="687" spans="1:14" x14ac:dyDescent="0.3">
      <c r="A687" s="2" t="s">
        <v>1217</v>
      </c>
      <c r="B687" s="2" t="s">
        <v>82</v>
      </c>
      <c r="C687" s="2" t="s">
        <v>54</v>
      </c>
      <c r="D687" s="2" t="s">
        <v>59</v>
      </c>
      <c r="E687" s="2" t="s">
        <v>490</v>
      </c>
      <c r="F687" s="2" t="s">
        <v>87</v>
      </c>
      <c r="G687" s="2" t="s">
        <v>73</v>
      </c>
      <c r="H687" s="2">
        <v>1831.72</v>
      </c>
      <c r="I687" s="2">
        <v>1115.42</v>
      </c>
      <c r="J687" s="2">
        <v>716.3</v>
      </c>
      <c r="K687" s="2" t="s">
        <v>229</v>
      </c>
      <c r="L687" s="2"/>
      <c r="M687" s="2">
        <v>5</v>
      </c>
      <c r="N687" s="2" t="s">
        <v>22</v>
      </c>
    </row>
    <row r="688" spans="1:14" x14ac:dyDescent="0.3">
      <c r="A688" s="2" t="s">
        <v>1218</v>
      </c>
      <c r="B688" s="2" t="s">
        <v>344</v>
      </c>
      <c r="C688" s="2" t="s">
        <v>64</v>
      </c>
      <c r="D688" s="2" t="s">
        <v>33</v>
      </c>
      <c r="E688" s="2" t="s">
        <v>297</v>
      </c>
      <c r="F688" s="2" t="s">
        <v>35</v>
      </c>
      <c r="G688" s="2" t="s">
        <v>36</v>
      </c>
      <c r="H688" s="2">
        <v>3774.3</v>
      </c>
      <c r="I688" s="2">
        <v>2120.41</v>
      </c>
      <c r="J688" s="2">
        <v>1653.89</v>
      </c>
      <c r="K688" s="2" t="s">
        <v>21</v>
      </c>
      <c r="L688" s="2"/>
      <c r="M688" s="2">
        <v>4</v>
      </c>
      <c r="N688" s="2" t="s">
        <v>22</v>
      </c>
    </row>
    <row r="689" spans="1:14" x14ac:dyDescent="0.3">
      <c r="A689" s="2" t="s">
        <v>1219</v>
      </c>
      <c r="B689" s="2" t="s">
        <v>133</v>
      </c>
      <c r="C689" s="2" t="s">
        <v>54</v>
      </c>
      <c r="D689" s="2" t="s">
        <v>42</v>
      </c>
      <c r="E689" s="2" t="s">
        <v>47</v>
      </c>
      <c r="F689" s="2" t="s">
        <v>19</v>
      </c>
      <c r="G689" s="2" t="s">
        <v>36</v>
      </c>
      <c r="H689" s="2">
        <v>331.24</v>
      </c>
      <c r="I689" s="2">
        <v>278.20999999999998</v>
      </c>
      <c r="J689" s="2">
        <v>53.03</v>
      </c>
      <c r="K689" s="2" t="s">
        <v>652</v>
      </c>
      <c r="L689" s="2"/>
      <c r="M689" s="2">
        <v>5</v>
      </c>
      <c r="N689" s="2" t="s">
        <v>22</v>
      </c>
    </row>
    <row r="690" spans="1:14" x14ac:dyDescent="0.3">
      <c r="A690" s="2" t="s">
        <v>1220</v>
      </c>
      <c r="B690" s="2" t="s">
        <v>596</v>
      </c>
      <c r="C690" s="2" t="s">
        <v>25</v>
      </c>
      <c r="D690" s="2" t="s">
        <v>7</v>
      </c>
      <c r="E690" s="2" t="s">
        <v>55</v>
      </c>
      <c r="F690" s="2" t="s">
        <v>40</v>
      </c>
      <c r="G690" s="2" t="s">
        <v>36</v>
      </c>
      <c r="H690" s="2">
        <v>1481.12</v>
      </c>
      <c r="I690" s="2">
        <v>900.56</v>
      </c>
      <c r="J690" s="2">
        <v>580.55999999999995</v>
      </c>
      <c r="K690" s="2" t="s">
        <v>21</v>
      </c>
      <c r="L690" s="2"/>
      <c r="M690" s="2">
        <v>4</v>
      </c>
      <c r="N690" s="2" t="s">
        <v>29</v>
      </c>
    </row>
    <row r="691" spans="1:14" x14ac:dyDescent="0.3">
      <c r="A691" s="2" t="s">
        <v>1221</v>
      </c>
      <c r="B691" s="2" t="s">
        <v>1222</v>
      </c>
      <c r="C691" s="2" t="s">
        <v>124</v>
      </c>
      <c r="D691" s="2" t="s">
        <v>17</v>
      </c>
      <c r="E691" s="2" t="s">
        <v>226</v>
      </c>
      <c r="F691" s="2" t="s">
        <v>87</v>
      </c>
      <c r="G691" s="2" t="s">
        <v>36</v>
      </c>
      <c r="H691" s="2">
        <v>462.32</v>
      </c>
      <c r="I691" s="2">
        <v>265.44</v>
      </c>
      <c r="J691" s="2">
        <v>196.88</v>
      </c>
      <c r="K691" s="2" t="s">
        <v>21</v>
      </c>
      <c r="L691" s="2"/>
      <c r="M691" s="2">
        <v>4</v>
      </c>
      <c r="N691" s="2" t="s">
        <v>22</v>
      </c>
    </row>
    <row r="692" spans="1:14" x14ac:dyDescent="0.3">
      <c r="A692" s="2" t="s">
        <v>830</v>
      </c>
      <c r="B692" s="2" t="s">
        <v>623</v>
      </c>
      <c r="C692" s="2" t="s">
        <v>104</v>
      </c>
      <c r="D692" s="2" t="s">
        <v>7</v>
      </c>
      <c r="E692" s="2" t="s">
        <v>69</v>
      </c>
      <c r="F692" s="2" t="s">
        <v>40</v>
      </c>
      <c r="G692" s="2" t="s">
        <v>28</v>
      </c>
      <c r="H692" s="2">
        <v>1359.22</v>
      </c>
      <c r="I692" s="2">
        <v>937.98</v>
      </c>
      <c r="J692" s="2">
        <v>421.24</v>
      </c>
      <c r="K692" s="2" t="s">
        <v>21</v>
      </c>
      <c r="L692" s="2"/>
      <c r="M692" s="2">
        <v>4</v>
      </c>
      <c r="N692" s="2" t="s">
        <v>22</v>
      </c>
    </row>
    <row r="693" spans="1:14" x14ac:dyDescent="0.3">
      <c r="A693" s="2" t="s">
        <v>1223</v>
      </c>
      <c r="B693" s="2" t="s">
        <v>1224</v>
      </c>
      <c r="C693" s="2" t="s">
        <v>124</v>
      </c>
      <c r="D693" s="2" t="s">
        <v>33</v>
      </c>
      <c r="E693" s="2" t="s">
        <v>205</v>
      </c>
      <c r="F693" s="2" t="s">
        <v>35</v>
      </c>
      <c r="G693" s="2" t="s">
        <v>73</v>
      </c>
      <c r="H693" s="2">
        <v>2939.31</v>
      </c>
      <c r="I693" s="2">
        <v>1834.31</v>
      </c>
      <c r="J693" s="2">
        <v>1105</v>
      </c>
      <c r="K693" s="2" t="s">
        <v>90</v>
      </c>
      <c r="L693" s="2">
        <v>6</v>
      </c>
      <c r="M693" s="2">
        <v>1</v>
      </c>
      <c r="N693" s="2" t="s">
        <v>29</v>
      </c>
    </row>
    <row r="694" spans="1:14" x14ac:dyDescent="0.3">
      <c r="A694" s="2" t="s">
        <v>1225</v>
      </c>
      <c r="B694" s="2" t="s">
        <v>1226</v>
      </c>
      <c r="C694" s="2" t="s">
        <v>25</v>
      </c>
      <c r="D694" s="2" t="s">
        <v>59</v>
      </c>
      <c r="E694" s="2" t="s">
        <v>490</v>
      </c>
      <c r="F694" s="2" t="s">
        <v>27</v>
      </c>
      <c r="G694" s="2" t="s">
        <v>20</v>
      </c>
      <c r="H694" s="2">
        <v>1272.29</v>
      </c>
      <c r="I694" s="2">
        <v>836.32</v>
      </c>
      <c r="J694" s="2">
        <v>435.97</v>
      </c>
      <c r="K694" s="2" t="s">
        <v>21</v>
      </c>
      <c r="L694" s="2"/>
      <c r="M694" s="2">
        <v>5</v>
      </c>
      <c r="N694" s="2" t="s">
        <v>22</v>
      </c>
    </row>
    <row r="695" spans="1:14" x14ac:dyDescent="0.3">
      <c r="A695" s="2" t="s">
        <v>1227</v>
      </c>
      <c r="B695" s="2" t="s">
        <v>473</v>
      </c>
      <c r="C695" s="2" t="s">
        <v>115</v>
      </c>
      <c r="D695" s="2" t="s">
        <v>59</v>
      </c>
      <c r="E695" s="2" t="s">
        <v>308</v>
      </c>
      <c r="F695" s="2" t="s">
        <v>19</v>
      </c>
      <c r="G695" s="2" t="s">
        <v>36</v>
      </c>
      <c r="H695" s="2">
        <v>3966.83</v>
      </c>
      <c r="I695" s="2">
        <v>2194.62</v>
      </c>
      <c r="J695" s="2">
        <v>1772.21</v>
      </c>
      <c r="K695" s="2" t="s">
        <v>21</v>
      </c>
      <c r="L695" s="2"/>
      <c r="M695" s="2">
        <v>4</v>
      </c>
      <c r="N695" s="2" t="s">
        <v>22</v>
      </c>
    </row>
    <row r="696" spans="1:14" x14ac:dyDescent="0.3">
      <c r="A696" s="2" t="s">
        <v>1228</v>
      </c>
      <c r="B696" s="2" t="s">
        <v>594</v>
      </c>
      <c r="C696" s="2" t="s">
        <v>179</v>
      </c>
      <c r="D696" s="2" t="s">
        <v>42</v>
      </c>
      <c r="E696" s="2" t="s">
        <v>80</v>
      </c>
      <c r="F696" s="2" t="s">
        <v>87</v>
      </c>
      <c r="G696" s="2" t="s">
        <v>44</v>
      </c>
      <c r="H696" s="2">
        <v>2191.21</v>
      </c>
      <c r="I696" s="2">
        <v>1755.91</v>
      </c>
      <c r="J696" s="2">
        <v>435.3</v>
      </c>
      <c r="K696" s="2" t="s">
        <v>21</v>
      </c>
      <c r="L696" s="2"/>
      <c r="M696" s="2">
        <v>4</v>
      </c>
      <c r="N696" s="2" t="s">
        <v>22</v>
      </c>
    </row>
    <row r="697" spans="1:14" x14ac:dyDescent="0.3">
      <c r="A697" s="2" t="s">
        <v>1229</v>
      </c>
      <c r="B697" s="2" t="s">
        <v>1230</v>
      </c>
      <c r="C697" s="2" t="s">
        <v>54</v>
      </c>
      <c r="D697" s="2" t="s">
        <v>7</v>
      </c>
      <c r="E697" s="2" t="s">
        <v>131</v>
      </c>
      <c r="F697" s="2" t="s">
        <v>87</v>
      </c>
      <c r="G697" s="2" t="s">
        <v>73</v>
      </c>
      <c r="H697" s="2">
        <v>2001.55</v>
      </c>
      <c r="I697" s="2">
        <v>1128.93</v>
      </c>
      <c r="J697" s="2">
        <v>872.62</v>
      </c>
      <c r="K697" s="2" t="s">
        <v>21</v>
      </c>
      <c r="L697" s="2"/>
      <c r="M697" s="2">
        <v>5</v>
      </c>
      <c r="N697" s="2" t="s">
        <v>22</v>
      </c>
    </row>
    <row r="698" spans="1:14" x14ac:dyDescent="0.3">
      <c r="A698" s="2" t="s">
        <v>1231</v>
      </c>
      <c r="B698" s="2" t="s">
        <v>1232</v>
      </c>
      <c r="C698" s="2" t="s">
        <v>111</v>
      </c>
      <c r="D698" s="2" t="s">
        <v>7</v>
      </c>
      <c r="E698" s="2" t="s">
        <v>131</v>
      </c>
      <c r="F698" s="2" t="s">
        <v>27</v>
      </c>
      <c r="G698" s="2" t="s">
        <v>20</v>
      </c>
      <c r="H698" s="2">
        <v>266.61</v>
      </c>
      <c r="I698" s="2">
        <v>195.92</v>
      </c>
      <c r="J698" s="2">
        <v>70.69</v>
      </c>
      <c r="K698" s="2" t="s">
        <v>21</v>
      </c>
      <c r="L698" s="2"/>
      <c r="M698" s="2">
        <v>4</v>
      </c>
      <c r="N698" s="2" t="s">
        <v>22</v>
      </c>
    </row>
    <row r="699" spans="1:14" x14ac:dyDescent="0.3">
      <c r="A699" s="2" t="s">
        <v>1233</v>
      </c>
      <c r="B699" s="2" t="s">
        <v>1234</v>
      </c>
      <c r="C699" s="2" t="s">
        <v>179</v>
      </c>
      <c r="D699" s="2" t="s">
        <v>17</v>
      </c>
      <c r="E699" s="2" t="s">
        <v>226</v>
      </c>
      <c r="F699" s="2" t="s">
        <v>19</v>
      </c>
      <c r="G699" s="2" t="s">
        <v>28</v>
      </c>
      <c r="H699" s="2">
        <v>835.12</v>
      </c>
      <c r="I699" s="2">
        <v>650.38</v>
      </c>
      <c r="J699" s="2">
        <v>184.74</v>
      </c>
      <c r="K699" s="2" t="s">
        <v>21</v>
      </c>
      <c r="L699" s="2"/>
      <c r="M699" s="2">
        <v>4</v>
      </c>
      <c r="N699" s="2" t="s">
        <v>22</v>
      </c>
    </row>
    <row r="700" spans="1:14" x14ac:dyDescent="0.3">
      <c r="A700" s="2" t="s">
        <v>1235</v>
      </c>
      <c r="B700" s="2" t="s">
        <v>50</v>
      </c>
      <c r="C700" s="2" t="s">
        <v>16</v>
      </c>
      <c r="D700" s="2" t="s">
        <v>17</v>
      </c>
      <c r="E700" s="2" t="s">
        <v>226</v>
      </c>
      <c r="F700" s="2" t="s">
        <v>19</v>
      </c>
      <c r="G700" s="2" t="s">
        <v>20</v>
      </c>
      <c r="H700" s="2">
        <v>490.82</v>
      </c>
      <c r="I700" s="2">
        <v>387.24</v>
      </c>
      <c r="J700" s="2">
        <v>103.58</v>
      </c>
      <c r="K700" s="2" t="s">
        <v>56</v>
      </c>
      <c r="L700" s="2">
        <v>6</v>
      </c>
      <c r="M700" s="2">
        <v>5</v>
      </c>
      <c r="N700" s="2" t="s">
        <v>22</v>
      </c>
    </row>
    <row r="701" spans="1:14" x14ac:dyDescent="0.3">
      <c r="A701" s="2" t="s">
        <v>1236</v>
      </c>
      <c r="B701" s="2" t="s">
        <v>629</v>
      </c>
      <c r="C701" s="2" t="s">
        <v>54</v>
      </c>
      <c r="D701" s="2" t="s">
        <v>42</v>
      </c>
      <c r="E701" s="2" t="s">
        <v>77</v>
      </c>
      <c r="F701" s="2" t="s">
        <v>40</v>
      </c>
      <c r="G701" s="2" t="s">
        <v>36</v>
      </c>
      <c r="H701" s="2">
        <v>903.82</v>
      </c>
      <c r="I701" s="2">
        <v>737.42</v>
      </c>
      <c r="J701" s="2">
        <v>166.4</v>
      </c>
      <c r="K701" s="2" t="s">
        <v>21</v>
      </c>
      <c r="L701" s="2"/>
      <c r="M701" s="2">
        <v>5</v>
      </c>
      <c r="N701" s="2" t="s">
        <v>22</v>
      </c>
    </row>
    <row r="702" spans="1:14" x14ac:dyDescent="0.3">
      <c r="A702" s="2" t="s">
        <v>280</v>
      </c>
      <c r="B702" s="2" t="s">
        <v>281</v>
      </c>
      <c r="C702" s="2" t="s">
        <v>54</v>
      </c>
      <c r="D702" s="2" t="s">
        <v>42</v>
      </c>
      <c r="E702" s="2" t="s">
        <v>43</v>
      </c>
      <c r="F702" s="2" t="s">
        <v>35</v>
      </c>
      <c r="G702" s="2" t="s">
        <v>36</v>
      </c>
      <c r="H702" s="2">
        <v>3201.55</v>
      </c>
      <c r="I702" s="2">
        <v>2515.85</v>
      </c>
      <c r="J702" s="2">
        <v>685.7</v>
      </c>
      <c r="K702" s="2" t="s">
        <v>21</v>
      </c>
      <c r="L702" s="2"/>
      <c r="M702" s="2">
        <v>3</v>
      </c>
      <c r="N702" s="2" t="s">
        <v>22</v>
      </c>
    </row>
    <row r="703" spans="1:14" x14ac:dyDescent="0.3">
      <c r="A703" s="2" t="s">
        <v>1237</v>
      </c>
      <c r="B703" s="2" t="s">
        <v>838</v>
      </c>
      <c r="C703" s="2" t="s">
        <v>16</v>
      </c>
      <c r="D703" s="2" t="s">
        <v>42</v>
      </c>
      <c r="E703" s="2" t="s">
        <v>162</v>
      </c>
      <c r="F703" s="2" t="s">
        <v>84</v>
      </c>
      <c r="G703" s="2" t="s">
        <v>44</v>
      </c>
      <c r="H703" s="2">
        <v>956.28</v>
      </c>
      <c r="I703" s="2">
        <v>700.68</v>
      </c>
      <c r="J703" s="2">
        <v>255.6</v>
      </c>
      <c r="K703" s="2" t="s">
        <v>56</v>
      </c>
      <c r="L703" s="2">
        <v>5</v>
      </c>
      <c r="M703" s="2">
        <v>1</v>
      </c>
      <c r="N703" s="2" t="s">
        <v>22</v>
      </c>
    </row>
    <row r="704" spans="1:14" x14ac:dyDescent="0.3">
      <c r="A704" s="2" t="s">
        <v>1238</v>
      </c>
      <c r="B704" s="2" t="s">
        <v>1239</v>
      </c>
      <c r="C704" s="2" t="s">
        <v>104</v>
      </c>
      <c r="D704" s="2" t="s">
        <v>7</v>
      </c>
      <c r="E704" s="2"/>
      <c r="F704" s="2" t="s">
        <v>19</v>
      </c>
      <c r="G704" s="2" t="s">
        <v>36</v>
      </c>
      <c r="H704" s="2">
        <v>2714.46</v>
      </c>
      <c r="I704" s="2">
        <v>1975.71</v>
      </c>
      <c r="J704" s="2">
        <v>738.75</v>
      </c>
      <c r="K704" s="2" t="s">
        <v>21</v>
      </c>
      <c r="L704" s="2"/>
      <c r="M704" s="2">
        <v>2</v>
      </c>
      <c r="N704" s="2" t="s">
        <v>22</v>
      </c>
    </row>
    <row r="705" spans="1:14" x14ac:dyDescent="0.3">
      <c r="A705" s="2" t="s">
        <v>1240</v>
      </c>
      <c r="B705" s="2" t="s">
        <v>531</v>
      </c>
      <c r="C705" s="2" t="s">
        <v>124</v>
      </c>
      <c r="D705" s="2" t="s">
        <v>42</v>
      </c>
      <c r="E705" s="2" t="s">
        <v>214</v>
      </c>
      <c r="F705" s="2" t="s">
        <v>27</v>
      </c>
      <c r="G705" s="2" t="s">
        <v>28</v>
      </c>
      <c r="H705" s="2">
        <v>3185.57</v>
      </c>
      <c r="I705" s="2">
        <v>2322.79</v>
      </c>
      <c r="J705" s="2">
        <v>862.78</v>
      </c>
      <c r="K705" s="2" t="s">
        <v>56</v>
      </c>
      <c r="L705" s="2">
        <v>13</v>
      </c>
      <c r="M705" s="2">
        <v>1</v>
      </c>
      <c r="N705" s="2" t="s">
        <v>22</v>
      </c>
    </row>
    <row r="706" spans="1:14" x14ac:dyDescent="0.3">
      <c r="A706" s="2" t="s">
        <v>1241</v>
      </c>
      <c r="B706" s="2" t="s">
        <v>1242</v>
      </c>
      <c r="C706" s="2" t="s">
        <v>124</v>
      </c>
      <c r="D706" s="2" t="s">
        <v>33</v>
      </c>
      <c r="E706" s="2" t="s">
        <v>105</v>
      </c>
      <c r="F706" s="2" t="s">
        <v>35</v>
      </c>
      <c r="G706" s="2" t="s">
        <v>44</v>
      </c>
      <c r="H706" s="2">
        <v>3248.51</v>
      </c>
      <c r="I706" s="2">
        <v>2243.65</v>
      </c>
      <c r="J706" s="2">
        <v>1004.86</v>
      </c>
      <c r="K706" s="2" t="s">
        <v>21</v>
      </c>
      <c r="L706" s="2"/>
      <c r="M706" s="2">
        <v>5</v>
      </c>
      <c r="N706" s="2" t="s">
        <v>22</v>
      </c>
    </row>
    <row r="707" spans="1:14" x14ac:dyDescent="0.3">
      <c r="A707" s="2" t="s">
        <v>1243</v>
      </c>
      <c r="B707" s="2" t="s">
        <v>888</v>
      </c>
      <c r="C707" s="2" t="s">
        <v>115</v>
      </c>
      <c r="D707" s="2" t="s">
        <v>59</v>
      </c>
      <c r="E707" s="2" t="s">
        <v>116</v>
      </c>
      <c r="F707" s="2" t="s">
        <v>35</v>
      </c>
      <c r="G707" s="2" t="s">
        <v>36</v>
      </c>
      <c r="H707" s="2">
        <v>5255.01</v>
      </c>
      <c r="I707" s="2">
        <v>3340.36</v>
      </c>
      <c r="J707" s="2">
        <v>1914.65</v>
      </c>
      <c r="K707" s="2" t="s">
        <v>21</v>
      </c>
      <c r="L707" s="2"/>
      <c r="M707" s="2">
        <v>4</v>
      </c>
      <c r="N707" s="2" t="s">
        <v>22</v>
      </c>
    </row>
    <row r="708" spans="1:14" x14ac:dyDescent="0.3">
      <c r="A708" s="2" t="s">
        <v>1244</v>
      </c>
      <c r="B708" s="2" t="s">
        <v>1245</v>
      </c>
      <c r="C708" s="2" t="s">
        <v>32</v>
      </c>
      <c r="D708" s="2" t="s">
        <v>42</v>
      </c>
      <c r="E708" s="2" t="s">
        <v>214</v>
      </c>
      <c r="F708" s="2" t="s">
        <v>40</v>
      </c>
      <c r="G708" s="2" t="s">
        <v>44</v>
      </c>
      <c r="H708" s="2">
        <v>1749.45</v>
      </c>
      <c r="I708" s="2">
        <v>1301.3800000000001</v>
      </c>
      <c r="J708" s="2">
        <v>448.07</v>
      </c>
      <c r="K708" s="2" t="s">
        <v>56</v>
      </c>
      <c r="L708" s="2">
        <v>8</v>
      </c>
      <c r="M708" s="2">
        <v>2</v>
      </c>
      <c r="N708" s="2" t="s">
        <v>22</v>
      </c>
    </row>
    <row r="709" spans="1:14" x14ac:dyDescent="0.3">
      <c r="A709" s="2" t="s">
        <v>1246</v>
      </c>
      <c r="B709" s="2" t="s">
        <v>1128</v>
      </c>
      <c r="C709" s="2" t="s">
        <v>115</v>
      </c>
      <c r="D709" s="2" t="s">
        <v>59</v>
      </c>
      <c r="E709" s="2" t="s">
        <v>490</v>
      </c>
      <c r="F709" s="2" t="s">
        <v>19</v>
      </c>
      <c r="G709" s="2" t="s">
        <v>44</v>
      </c>
      <c r="H709" s="2">
        <v>2352.9</v>
      </c>
      <c r="I709" s="2">
        <v>1680.32</v>
      </c>
      <c r="J709" s="2">
        <v>672.58</v>
      </c>
      <c r="K709" s="2" t="s">
        <v>21</v>
      </c>
      <c r="L709" s="2"/>
      <c r="M709" s="2">
        <v>4</v>
      </c>
      <c r="N709" s="2" t="s">
        <v>22</v>
      </c>
    </row>
    <row r="710" spans="1:14" x14ac:dyDescent="0.3">
      <c r="A710" s="2" t="s">
        <v>588</v>
      </c>
      <c r="B710" s="2" t="s">
        <v>589</v>
      </c>
      <c r="C710" s="2" t="s">
        <v>68</v>
      </c>
      <c r="D710" s="2" t="s">
        <v>17</v>
      </c>
      <c r="E710" s="2" t="s">
        <v>100</v>
      </c>
      <c r="F710" s="2" t="s">
        <v>87</v>
      </c>
      <c r="G710" s="2" t="s">
        <v>44</v>
      </c>
      <c r="H710" s="2">
        <v>1193.81</v>
      </c>
      <c r="I710" s="2">
        <v>893.6</v>
      </c>
      <c r="J710" s="2">
        <v>300.20999999999998</v>
      </c>
      <c r="K710" s="2" t="s">
        <v>21</v>
      </c>
      <c r="L710" s="2"/>
      <c r="M710" s="2">
        <v>4</v>
      </c>
      <c r="N710" s="2" t="s">
        <v>22</v>
      </c>
    </row>
    <row r="711" spans="1:14" x14ac:dyDescent="0.3">
      <c r="A711" s="2" t="s">
        <v>1247</v>
      </c>
      <c r="B711" s="2" t="s">
        <v>1248</v>
      </c>
      <c r="C711" s="2" t="s">
        <v>104</v>
      </c>
      <c r="D711" s="2" t="s">
        <v>42</v>
      </c>
      <c r="E711" s="2" t="s">
        <v>214</v>
      </c>
      <c r="F711" s="2" t="s">
        <v>35</v>
      </c>
      <c r="G711" s="2" t="s">
        <v>20</v>
      </c>
      <c r="H711" s="2">
        <v>2094.08</v>
      </c>
      <c r="I711" s="2">
        <v>1637.75</v>
      </c>
      <c r="J711" s="2">
        <v>456.33</v>
      </c>
      <c r="K711" s="2" t="s">
        <v>56</v>
      </c>
      <c r="L711" s="2">
        <v>9</v>
      </c>
      <c r="M711" s="2">
        <v>2</v>
      </c>
      <c r="N711" s="2" t="s">
        <v>22</v>
      </c>
    </row>
    <row r="712" spans="1:14" x14ac:dyDescent="0.3">
      <c r="A712" s="2" t="s">
        <v>1249</v>
      </c>
      <c r="B712" s="2" t="s">
        <v>882</v>
      </c>
      <c r="C712" s="2" t="s">
        <v>32</v>
      </c>
      <c r="D712" s="2" t="s">
        <v>42</v>
      </c>
      <c r="E712" s="2" t="s">
        <v>80</v>
      </c>
      <c r="F712" s="2" t="s">
        <v>84</v>
      </c>
      <c r="G712" s="2" t="s">
        <v>44</v>
      </c>
      <c r="H712" s="2">
        <v>361.47</v>
      </c>
      <c r="I712" s="2">
        <v>288.58</v>
      </c>
      <c r="J712" s="2">
        <v>72.89</v>
      </c>
      <c r="K712" s="2" t="s">
        <v>56</v>
      </c>
      <c r="L712" s="2">
        <v>8</v>
      </c>
      <c r="M712" s="2">
        <v>3</v>
      </c>
      <c r="N712" s="2" t="s">
        <v>22</v>
      </c>
    </row>
    <row r="713" spans="1:14" x14ac:dyDescent="0.3">
      <c r="A713" s="2" t="s">
        <v>1250</v>
      </c>
      <c r="B713" s="2" t="s">
        <v>1251</v>
      </c>
      <c r="C713" s="2" t="s">
        <v>32</v>
      </c>
      <c r="D713" s="2" t="s">
        <v>42</v>
      </c>
      <c r="E713" s="2" t="s">
        <v>47</v>
      </c>
      <c r="F713" s="2" t="s">
        <v>84</v>
      </c>
      <c r="G713" s="2" t="s">
        <v>73</v>
      </c>
      <c r="H713" s="2">
        <v>2261.23</v>
      </c>
      <c r="I713" s="2">
        <v>1798.28</v>
      </c>
      <c r="J713" s="2">
        <v>462.95</v>
      </c>
      <c r="K713" s="2" t="s">
        <v>21</v>
      </c>
      <c r="L713" s="2"/>
      <c r="M713" s="2">
        <v>1</v>
      </c>
      <c r="N713" s="2" t="s">
        <v>22</v>
      </c>
    </row>
    <row r="714" spans="1:14" x14ac:dyDescent="0.3">
      <c r="A714" s="2" t="s">
        <v>1252</v>
      </c>
      <c r="B714" s="2" t="s">
        <v>1253</v>
      </c>
      <c r="C714" s="2" t="s">
        <v>124</v>
      </c>
      <c r="D714" s="2" t="s">
        <v>33</v>
      </c>
      <c r="E714" s="2" t="s">
        <v>297</v>
      </c>
      <c r="F714" s="2" t="s">
        <v>35</v>
      </c>
      <c r="G714" s="2" t="s">
        <v>36</v>
      </c>
      <c r="H714" s="2">
        <v>2802.47</v>
      </c>
      <c r="I714" s="2">
        <v>2216.17</v>
      </c>
      <c r="J714" s="2">
        <v>586.29999999999995</v>
      </c>
      <c r="K714" s="2" t="s">
        <v>21</v>
      </c>
      <c r="L714" s="2"/>
      <c r="M714" s="2">
        <v>5</v>
      </c>
      <c r="N714" s="2" t="s">
        <v>22</v>
      </c>
    </row>
    <row r="715" spans="1:14" x14ac:dyDescent="0.3">
      <c r="A715" s="2" t="s">
        <v>1254</v>
      </c>
      <c r="B715" s="2" t="s">
        <v>1255</v>
      </c>
      <c r="C715" s="2" t="s">
        <v>115</v>
      </c>
      <c r="D715" s="2" t="s">
        <v>17</v>
      </c>
      <c r="E715" s="2" t="s">
        <v>72</v>
      </c>
      <c r="F715" s="2" t="s">
        <v>40</v>
      </c>
      <c r="G715" s="2" t="s">
        <v>418</v>
      </c>
      <c r="H715" s="2">
        <v>1109.67</v>
      </c>
      <c r="I715" s="2">
        <v>877.62</v>
      </c>
      <c r="J715" s="2">
        <v>232.05</v>
      </c>
      <c r="K715" s="2" t="s">
        <v>21</v>
      </c>
      <c r="L715" s="2"/>
      <c r="M715" s="2">
        <v>5</v>
      </c>
      <c r="N715" s="2" t="s">
        <v>22</v>
      </c>
    </row>
    <row r="716" spans="1:14" x14ac:dyDescent="0.3">
      <c r="A716" s="2" t="s">
        <v>247</v>
      </c>
      <c r="B716" s="2" t="s">
        <v>248</v>
      </c>
      <c r="C716" s="2" t="s">
        <v>124</v>
      </c>
      <c r="D716" s="2" t="s">
        <v>7</v>
      </c>
      <c r="E716" s="2" t="s">
        <v>128</v>
      </c>
      <c r="F716" s="2" t="s">
        <v>19</v>
      </c>
      <c r="G716" s="2" t="s">
        <v>36</v>
      </c>
      <c r="H716" s="2">
        <v>2411.96</v>
      </c>
      <c r="I716" s="2">
        <v>1468.4</v>
      </c>
      <c r="J716" s="2">
        <v>943.56</v>
      </c>
      <c r="K716" s="2" t="s">
        <v>21</v>
      </c>
      <c r="L716" s="2"/>
      <c r="M716" s="2">
        <v>4</v>
      </c>
      <c r="N716" s="2" t="s">
        <v>29</v>
      </c>
    </row>
    <row r="717" spans="1:14" x14ac:dyDescent="0.3">
      <c r="A717" s="2" t="s">
        <v>1256</v>
      </c>
      <c r="B717" s="2" t="s">
        <v>1257</v>
      </c>
      <c r="C717" s="2" t="s">
        <v>68</v>
      </c>
      <c r="D717" s="2" t="s">
        <v>33</v>
      </c>
      <c r="E717" s="2" t="s">
        <v>119</v>
      </c>
      <c r="F717" s="2" t="s">
        <v>35</v>
      </c>
      <c r="G717" s="2" t="s">
        <v>36</v>
      </c>
      <c r="H717" s="2">
        <v>737.73</v>
      </c>
      <c r="I717" s="2">
        <v>453.63</v>
      </c>
      <c r="J717" s="2">
        <v>284.10000000000002</v>
      </c>
      <c r="K717" s="2" t="s">
        <v>21</v>
      </c>
      <c r="L717" s="2"/>
      <c r="M717" s="2">
        <v>4</v>
      </c>
      <c r="N717" s="2" t="s">
        <v>22</v>
      </c>
    </row>
    <row r="718" spans="1:14" x14ac:dyDescent="0.3">
      <c r="A718" s="2" t="s">
        <v>1258</v>
      </c>
      <c r="B718" s="2" t="s">
        <v>742</v>
      </c>
      <c r="C718" s="2" t="s">
        <v>111</v>
      </c>
      <c r="D718" s="2" t="s">
        <v>42</v>
      </c>
      <c r="E718" s="2" t="s">
        <v>162</v>
      </c>
      <c r="F718" s="2" t="s">
        <v>40</v>
      </c>
      <c r="G718" s="2" t="s">
        <v>36</v>
      </c>
      <c r="H718" s="2">
        <v>3675.6</v>
      </c>
      <c r="I718" s="2">
        <v>3309.45</v>
      </c>
      <c r="J718" s="2">
        <v>366.15</v>
      </c>
      <c r="K718" s="2" t="s">
        <v>21</v>
      </c>
      <c r="L718" s="2"/>
      <c r="M718" s="2">
        <v>5</v>
      </c>
      <c r="N718" s="2" t="s">
        <v>29</v>
      </c>
    </row>
    <row r="719" spans="1:14" x14ac:dyDescent="0.3">
      <c r="A719" s="2" t="s">
        <v>1259</v>
      </c>
      <c r="B719" s="2" t="s">
        <v>1260</v>
      </c>
      <c r="C719" s="2" t="s">
        <v>54</v>
      </c>
      <c r="D719" s="2" t="s">
        <v>17</v>
      </c>
      <c r="E719" s="2" t="s">
        <v>226</v>
      </c>
      <c r="F719" s="2" t="s">
        <v>19</v>
      </c>
      <c r="G719" s="2" t="s">
        <v>28</v>
      </c>
      <c r="H719" s="2">
        <v>2399.17</v>
      </c>
      <c r="I719" s="2">
        <v>1677.21</v>
      </c>
      <c r="J719" s="2">
        <v>721.96</v>
      </c>
      <c r="K719" s="2" t="s">
        <v>56</v>
      </c>
      <c r="L719" s="2">
        <v>8</v>
      </c>
      <c r="M719" s="2">
        <v>3</v>
      </c>
      <c r="N719" s="2" t="s">
        <v>22</v>
      </c>
    </row>
    <row r="720" spans="1:14" x14ac:dyDescent="0.3">
      <c r="A720" s="2" t="s">
        <v>1261</v>
      </c>
      <c r="B720" s="2" t="s">
        <v>1262</v>
      </c>
      <c r="C720" s="2" t="s">
        <v>111</v>
      </c>
      <c r="D720" s="2" t="s">
        <v>7</v>
      </c>
      <c r="E720" s="2" t="s">
        <v>182</v>
      </c>
      <c r="F720" s="2" t="s">
        <v>87</v>
      </c>
      <c r="G720" s="2" t="s">
        <v>36</v>
      </c>
      <c r="H720" s="2">
        <v>2270.61</v>
      </c>
      <c r="I720" s="2">
        <v>1629.88</v>
      </c>
      <c r="J720" s="2">
        <v>640.73</v>
      </c>
      <c r="K720" s="2" t="s">
        <v>21</v>
      </c>
      <c r="L720" s="2"/>
      <c r="M720" s="2">
        <v>4</v>
      </c>
      <c r="N720" s="2" t="s">
        <v>22</v>
      </c>
    </row>
    <row r="721" spans="1:14" x14ac:dyDescent="0.3">
      <c r="A721" s="2" t="s">
        <v>1071</v>
      </c>
      <c r="B721" s="2" t="s">
        <v>1072</v>
      </c>
      <c r="C721" s="2" t="s">
        <v>68</v>
      </c>
      <c r="D721" s="2" t="s">
        <v>42</v>
      </c>
      <c r="E721" s="2"/>
      <c r="F721" s="2" t="s">
        <v>84</v>
      </c>
      <c r="G721" s="2" t="s">
        <v>28</v>
      </c>
      <c r="H721" s="2">
        <v>3403.3</v>
      </c>
      <c r="I721" s="2">
        <v>2553.71</v>
      </c>
      <c r="J721" s="2">
        <v>849.59</v>
      </c>
      <c r="K721" s="2" t="s">
        <v>21</v>
      </c>
      <c r="L721" s="2"/>
      <c r="M721" s="2">
        <v>4</v>
      </c>
      <c r="N721" s="2" t="s">
        <v>22</v>
      </c>
    </row>
    <row r="722" spans="1:14" x14ac:dyDescent="0.3">
      <c r="A722" s="2" t="s">
        <v>1263</v>
      </c>
      <c r="B722" s="2" t="s">
        <v>581</v>
      </c>
      <c r="C722" s="2" t="s">
        <v>124</v>
      </c>
      <c r="D722" s="2" t="s">
        <v>59</v>
      </c>
      <c r="E722" s="2" t="s">
        <v>155</v>
      </c>
      <c r="F722" s="2" t="s">
        <v>27</v>
      </c>
      <c r="G722" s="2" t="s">
        <v>73</v>
      </c>
      <c r="H722" s="2">
        <v>1093.08</v>
      </c>
      <c r="I722" s="2">
        <v>854.43</v>
      </c>
      <c r="J722" s="2">
        <v>238.65</v>
      </c>
      <c r="K722" s="2" t="s">
        <v>21</v>
      </c>
      <c r="L722" s="2"/>
      <c r="M722" s="2">
        <v>4</v>
      </c>
      <c r="N722" s="2" t="s">
        <v>22</v>
      </c>
    </row>
    <row r="723" spans="1:14" x14ac:dyDescent="0.3">
      <c r="A723" s="2" t="s">
        <v>1264</v>
      </c>
      <c r="B723" s="2" t="s">
        <v>200</v>
      </c>
      <c r="C723" s="2" t="s">
        <v>179</v>
      </c>
      <c r="D723" s="2" t="s">
        <v>42</v>
      </c>
      <c r="E723" s="2" t="s">
        <v>77</v>
      </c>
      <c r="F723" s="2" t="s">
        <v>19</v>
      </c>
      <c r="G723" s="2" t="s">
        <v>73</v>
      </c>
      <c r="H723" s="2">
        <v>3119.56</v>
      </c>
      <c r="I723" s="2">
        <v>2535.2800000000002</v>
      </c>
      <c r="J723" s="2">
        <v>584.28</v>
      </c>
      <c r="K723" s="2" t="s">
        <v>21</v>
      </c>
      <c r="L723" s="2"/>
      <c r="M723" s="2">
        <v>5</v>
      </c>
      <c r="N723" s="2" t="s">
        <v>29</v>
      </c>
    </row>
    <row r="724" spans="1:14" x14ac:dyDescent="0.3">
      <c r="A724" s="2" t="s">
        <v>1265</v>
      </c>
      <c r="B724" s="2" t="s">
        <v>1133</v>
      </c>
      <c r="C724" s="2" t="s">
        <v>115</v>
      </c>
      <c r="D724" s="2" t="s">
        <v>7</v>
      </c>
      <c r="E724" s="2" t="s">
        <v>182</v>
      </c>
      <c r="F724" s="2" t="s">
        <v>35</v>
      </c>
      <c r="G724" s="2" t="s">
        <v>36</v>
      </c>
      <c r="H724" s="2">
        <v>5235.62</v>
      </c>
      <c r="I724" s="2">
        <v>3270.12</v>
      </c>
      <c r="J724" s="2">
        <v>1965.5</v>
      </c>
      <c r="K724" s="2" t="s">
        <v>56</v>
      </c>
      <c r="L724" s="2">
        <v>7</v>
      </c>
      <c r="M724" s="2">
        <v>4</v>
      </c>
      <c r="N724" s="2" t="s">
        <v>29</v>
      </c>
    </row>
    <row r="725" spans="1:14" x14ac:dyDescent="0.3">
      <c r="A725" s="2" t="s">
        <v>1266</v>
      </c>
      <c r="B725" s="2" t="s">
        <v>1267</v>
      </c>
      <c r="C725" s="2" t="s">
        <v>124</v>
      </c>
      <c r="D725" s="2" t="s">
        <v>17</v>
      </c>
      <c r="E725" s="2" t="s">
        <v>51</v>
      </c>
      <c r="F725" s="2" t="s">
        <v>19</v>
      </c>
      <c r="G725" s="2" t="s">
        <v>73</v>
      </c>
      <c r="H725" s="2">
        <v>516.37</v>
      </c>
      <c r="I725" s="2">
        <v>319.63</v>
      </c>
      <c r="J725" s="2">
        <v>196.74</v>
      </c>
      <c r="K725" s="2" t="s">
        <v>21</v>
      </c>
      <c r="L725" s="2"/>
      <c r="M725" s="2">
        <v>4</v>
      </c>
      <c r="N725" s="2" t="s">
        <v>22</v>
      </c>
    </row>
    <row r="726" spans="1:14" x14ac:dyDescent="0.3">
      <c r="A726" s="2" t="s">
        <v>1268</v>
      </c>
      <c r="B726" s="2" t="s">
        <v>1269</v>
      </c>
      <c r="C726" s="2" t="s">
        <v>64</v>
      </c>
      <c r="D726" s="2" t="s">
        <v>17</v>
      </c>
      <c r="E726" s="2" t="s">
        <v>72</v>
      </c>
      <c r="F726" s="2" t="s">
        <v>87</v>
      </c>
      <c r="G726" s="2" t="s">
        <v>36</v>
      </c>
      <c r="H726" s="2">
        <v>340.13</v>
      </c>
      <c r="I726" s="2">
        <v>245.58</v>
      </c>
      <c r="J726" s="2">
        <v>94.55</v>
      </c>
      <c r="K726" s="2" t="s">
        <v>21</v>
      </c>
      <c r="L726" s="2"/>
      <c r="M726" s="2">
        <v>5</v>
      </c>
      <c r="N726" s="2" t="s">
        <v>22</v>
      </c>
    </row>
    <row r="727" spans="1:14" x14ac:dyDescent="0.3">
      <c r="A727" s="2" t="s">
        <v>1270</v>
      </c>
      <c r="B727" s="2" t="s">
        <v>1271</v>
      </c>
      <c r="C727" s="2" t="s">
        <v>68</v>
      </c>
      <c r="D727" s="2" t="s">
        <v>33</v>
      </c>
      <c r="E727" s="2" t="s">
        <v>93</v>
      </c>
      <c r="F727" s="2" t="s">
        <v>27</v>
      </c>
      <c r="G727" s="2" t="s">
        <v>36</v>
      </c>
      <c r="H727" s="2">
        <v>3018.39</v>
      </c>
      <c r="I727" s="2">
        <v>2088.91</v>
      </c>
      <c r="J727" s="2">
        <v>929.48</v>
      </c>
      <c r="K727" s="2" t="s">
        <v>56</v>
      </c>
      <c r="L727" s="2">
        <v>4</v>
      </c>
      <c r="M727" s="2">
        <v>4</v>
      </c>
      <c r="N727" s="2" t="s">
        <v>29</v>
      </c>
    </row>
    <row r="728" spans="1:14" x14ac:dyDescent="0.3">
      <c r="A728" s="2" t="s">
        <v>1272</v>
      </c>
      <c r="B728" s="2" t="s">
        <v>471</v>
      </c>
      <c r="C728" s="2" t="s">
        <v>25</v>
      </c>
      <c r="D728" s="2" t="s">
        <v>33</v>
      </c>
      <c r="E728" s="2" t="s">
        <v>205</v>
      </c>
      <c r="F728" s="2" t="s">
        <v>87</v>
      </c>
      <c r="G728" s="2" t="s">
        <v>44</v>
      </c>
      <c r="H728" s="2">
        <v>3239.18</v>
      </c>
      <c r="I728" s="2">
        <v>1906.01</v>
      </c>
      <c r="J728" s="2">
        <v>1333.17</v>
      </c>
      <c r="K728" s="2" t="s">
        <v>21</v>
      </c>
      <c r="L728" s="2"/>
      <c r="M728" s="2">
        <v>5</v>
      </c>
      <c r="N728" s="2" t="s">
        <v>22</v>
      </c>
    </row>
    <row r="729" spans="1:14" x14ac:dyDescent="0.3">
      <c r="A729" s="2" t="s">
        <v>1273</v>
      </c>
      <c r="B729" s="2" t="s">
        <v>1274</v>
      </c>
      <c r="C729" s="2" t="s">
        <v>54</v>
      </c>
      <c r="D729" s="2" t="s">
        <v>17</v>
      </c>
      <c r="E729" s="2" t="s">
        <v>51</v>
      </c>
      <c r="F729" s="2" t="s">
        <v>40</v>
      </c>
      <c r="G729" s="2" t="s">
        <v>44</v>
      </c>
      <c r="H729" s="2">
        <v>2165.84</v>
      </c>
      <c r="I729" s="2">
        <v>1535.91</v>
      </c>
      <c r="J729" s="2">
        <v>629.92999999999995</v>
      </c>
      <c r="K729" s="2" t="s">
        <v>21</v>
      </c>
      <c r="L729" s="2"/>
      <c r="M729" s="2">
        <v>4</v>
      </c>
      <c r="N729" s="2" t="s">
        <v>22</v>
      </c>
    </row>
    <row r="730" spans="1:14" x14ac:dyDescent="0.3">
      <c r="A730" s="2" t="s">
        <v>1275</v>
      </c>
      <c r="B730" s="2" t="s">
        <v>477</v>
      </c>
      <c r="C730" s="2" t="s">
        <v>64</v>
      </c>
      <c r="D730" s="2" t="s">
        <v>7</v>
      </c>
      <c r="E730" s="2" t="s">
        <v>182</v>
      </c>
      <c r="F730" s="2"/>
      <c r="G730" s="2" t="s">
        <v>44</v>
      </c>
      <c r="H730" s="2">
        <v>2758.42</v>
      </c>
      <c r="I730" s="2">
        <v>1594.38</v>
      </c>
      <c r="J730" s="2">
        <v>1164.04</v>
      </c>
      <c r="K730" s="2" t="s">
        <v>21</v>
      </c>
      <c r="L730" s="2"/>
      <c r="M730" s="2">
        <v>1</v>
      </c>
      <c r="N730" s="2" t="s">
        <v>22</v>
      </c>
    </row>
    <row r="731" spans="1:14" x14ac:dyDescent="0.3">
      <c r="A731" s="2" t="s">
        <v>1276</v>
      </c>
      <c r="B731" s="2" t="s">
        <v>184</v>
      </c>
      <c r="C731" s="2" t="s">
        <v>179</v>
      </c>
      <c r="D731" s="2" t="s">
        <v>59</v>
      </c>
      <c r="E731" s="2" t="s">
        <v>155</v>
      </c>
      <c r="F731" s="2" t="s">
        <v>35</v>
      </c>
      <c r="G731" s="2" t="s">
        <v>20</v>
      </c>
      <c r="H731" s="2">
        <v>3120.28</v>
      </c>
      <c r="I731" s="2">
        <v>2173.34</v>
      </c>
      <c r="J731" s="2">
        <v>946.94</v>
      </c>
      <c r="K731" s="2" t="s">
        <v>21</v>
      </c>
      <c r="L731" s="2"/>
      <c r="M731" s="2">
        <v>5</v>
      </c>
      <c r="N731" s="2" t="s">
        <v>29</v>
      </c>
    </row>
    <row r="732" spans="1:14" x14ac:dyDescent="0.3">
      <c r="A732" s="2" t="s">
        <v>1277</v>
      </c>
      <c r="B732" s="2" t="s">
        <v>1278</v>
      </c>
      <c r="C732" s="2" t="s">
        <v>16</v>
      </c>
      <c r="D732" s="2" t="s">
        <v>42</v>
      </c>
      <c r="E732" s="2" t="s">
        <v>214</v>
      </c>
      <c r="F732" s="2" t="s">
        <v>27</v>
      </c>
      <c r="G732" s="2" t="s">
        <v>28</v>
      </c>
      <c r="H732" s="2">
        <v>3020.21</v>
      </c>
      <c r="I732" s="2">
        <v>2597.46</v>
      </c>
      <c r="J732" s="2">
        <v>422.75</v>
      </c>
      <c r="K732" s="2" t="s">
        <v>21</v>
      </c>
      <c r="L732" s="2"/>
      <c r="M732" s="2">
        <v>5</v>
      </c>
      <c r="N732" s="2" t="s">
        <v>22</v>
      </c>
    </row>
    <row r="733" spans="1:14" x14ac:dyDescent="0.3">
      <c r="A733" s="2" t="s">
        <v>1279</v>
      </c>
      <c r="B733" s="2" t="s">
        <v>1280</v>
      </c>
      <c r="C733" s="2" t="s">
        <v>54</v>
      </c>
      <c r="D733" s="2" t="s">
        <v>7</v>
      </c>
      <c r="E733" s="2" t="s">
        <v>65</v>
      </c>
      <c r="F733" s="2" t="s">
        <v>40</v>
      </c>
      <c r="G733" s="2" t="s">
        <v>73</v>
      </c>
      <c r="H733" s="2">
        <v>1869.35</v>
      </c>
      <c r="I733" s="2">
        <v>1079.1099999999999</v>
      </c>
      <c r="J733" s="2">
        <v>790.24</v>
      </c>
      <c r="K733" s="2" t="s">
        <v>90</v>
      </c>
      <c r="L733" s="2"/>
      <c r="M733" s="2">
        <v>4</v>
      </c>
      <c r="N733" s="2" t="s">
        <v>22</v>
      </c>
    </row>
    <row r="734" spans="1:14" x14ac:dyDescent="0.3">
      <c r="A734" s="2" t="s">
        <v>733</v>
      </c>
      <c r="B734" s="2" t="s">
        <v>734</v>
      </c>
      <c r="C734" s="2" t="s">
        <v>115</v>
      </c>
      <c r="D734" s="2" t="s">
        <v>33</v>
      </c>
      <c r="E734" s="2" t="s">
        <v>105</v>
      </c>
      <c r="F734" s="2" t="s">
        <v>27</v>
      </c>
      <c r="G734" s="2" t="s">
        <v>36</v>
      </c>
      <c r="H734" s="2">
        <v>2999.12</v>
      </c>
      <c r="I734" s="2">
        <v>2315.38</v>
      </c>
      <c r="J734" s="2">
        <v>683.74</v>
      </c>
      <c r="K734" s="2" t="s">
        <v>21</v>
      </c>
      <c r="L734" s="2"/>
      <c r="M734" s="2">
        <v>5</v>
      </c>
      <c r="N734" s="2" t="s">
        <v>22</v>
      </c>
    </row>
    <row r="735" spans="1:14" x14ac:dyDescent="0.3">
      <c r="A735" s="2" t="s">
        <v>1281</v>
      </c>
      <c r="B735" s="2" t="s">
        <v>1282</v>
      </c>
      <c r="C735" s="2" t="s">
        <v>54</v>
      </c>
      <c r="D735" s="2" t="s">
        <v>7</v>
      </c>
      <c r="E735" s="2" t="s">
        <v>134</v>
      </c>
      <c r="F735" s="2" t="s">
        <v>27</v>
      </c>
      <c r="G735" s="2" t="s">
        <v>73</v>
      </c>
      <c r="H735" s="2">
        <v>2340.63</v>
      </c>
      <c r="I735" s="2">
        <v>1746.74</v>
      </c>
      <c r="J735" s="2">
        <v>593.89</v>
      </c>
      <c r="K735" s="2" t="s">
        <v>21</v>
      </c>
      <c r="L735" s="2"/>
      <c r="M735" s="2">
        <v>3</v>
      </c>
      <c r="N735" s="2" t="s">
        <v>29</v>
      </c>
    </row>
    <row r="736" spans="1:14" x14ac:dyDescent="0.3">
      <c r="A736" s="2" t="s">
        <v>1283</v>
      </c>
      <c r="B736" s="2" t="s">
        <v>1284</v>
      </c>
      <c r="C736" s="2" t="s">
        <v>68</v>
      </c>
      <c r="D736" s="2" t="s">
        <v>17</v>
      </c>
      <c r="E736" s="2" t="s">
        <v>226</v>
      </c>
      <c r="F736" s="2" t="s">
        <v>87</v>
      </c>
      <c r="G736" s="2" t="s">
        <v>73</v>
      </c>
      <c r="H736" s="2">
        <v>2701.37</v>
      </c>
      <c r="I736" s="2">
        <v>1832.83</v>
      </c>
      <c r="J736" s="2">
        <v>868.54</v>
      </c>
      <c r="K736" s="2" t="s">
        <v>21</v>
      </c>
      <c r="L736" s="2"/>
      <c r="M736" s="2">
        <v>4</v>
      </c>
      <c r="N736" s="2" t="s">
        <v>29</v>
      </c>
    </row>
    <row r="737" spans="1:14" x14ac:dyDescent="0.3">
      <c r="A737" s="2" t="s">
        <v>1285</v>
      </c>
      <c r="B737" s="2" t="s">
        <v>1286</v>
      </c>
      <c r="C737" s="2" t="s">
        <v>179</v>
      </c>
      <c r="D737" s="2" t="s">
        <v>17</v>
      </c>
      <c r="E737" s="2" t="s">
        <v>226</v>
      </c>
      <c r="F737" s="2" t="s">
        <v>87</v>
      </c>
      <c r="G737" s="2" t="s">
        <v>20</v>
      </c>
      <c r="H737" s="2">
        <v>445.58</v>
      </c>
      <c r="I737" s="2">
        <v>310.58</v>
      </c>
      <c r="J737" s="2">
        <v>135</v>
      </c>
      <c r="K737" s="2" t="s">
        <v>21</v>
      </c>
      <c r="L737" s="2"/>
      <c r="M737" s="2">
        <v>5</v>
      </c>
      <c r="N737" s="2" t="s">
        <v>22</v>
      </c>
    </row>
    <row r="738" spans="1:14" x14ac:dyDescent="0.3">
      <c r="A738" s="2" t="s">
        <v>1287</v>
      </c>
      <c r="B738" s="2" t="s">
        <v>228</v>
      </c>
      <c r="C738" s="2" t="s">
        <v>25</v>
      </c>
      <c r="D738" s="2" t="s">
        <v>7</v>
      </c>
      <c r="E738" s="2" t="s">
        <v>131</v>
      </c>
      <c r="F738" s="2" t="s">
        <v>928</v>
      </c>
      <c r="G738" s="2" t="s">
        <v>28</v>
      </c>
      <c r="H738" s="2">
        <v>1686.45</v>
      </c>
      <c r="I738" s="2">
        <v>1288.2</v>
      </c>
      <c r="J738" s="2">
        <v>398.25</v>
      </c>
      <c r="K738" s="2" t="s">
        <v>21</v>
      </c>
      <c r="L738" s="2"/>
      <c r="M738" s="2">
        <v>3</v>
      </c>
      <c r="N738" s="2" t="s">
        <v>22</v>
      </c>
    </row>
    <row r="739" spans="1:14" x14ac:dyDescent="0.3">
      <c r="A739" s="2" t="s">
        <v>1288</v>
      </c>
      <c r="B739" s="2" t="s">
        <v>441</v>
      </c>
      <c r="C739" s="2" t="s">
        <v>16</v>
      </c>
      <c r="D739" s="2" t="s">
        <v>59</v>
      </c>
      <c r="E739" s="2" t="s">
        <v>490</v>
      </c>
      <c r="F739" s="2" t="s">
        <v>27</v>
      </c>
      <c r="G739" s="2" t="s">
        <v>28</v>
      </c>
      <c r="H739" s="2">
        <v>3322.19</v>
      </c>
      <c r="I739" s="2">
        <v>2574.36</v>
      </c>
      <c r="J739" s="2">
        <v>747.83</v>
      </c>
      <c r="K739" s="2" t="s">
        <v>21</v>
      </c>
      <c r="L739" s="2"/>
      <c r="M739" s="2">
        <v>5</v>
      </c>
      <c r="N739" s="2" t="s">
        <v>22</v>
      </c>
    </row>
    <row r="740" spans="1:14" x14ac:dyDescent="0.3">
      <c r="A740" s="2" t="s">
        <v>1289</v>
      </c>
      <c r="B740" s="2" t="s">
        <v>1290</v>
      </c>
      <c r="C740" s="2" t="s">
        <v>104</v>
      </c>
      <c r="D740" s="2" t="s">
        <v>17</v>
      </c>
      <c r="E740" s="2" t="s">
        <v>26</v>
      </c>
      <c r="F740" s="2" t="s">
        <v>84</v>
      </c>
      <c r="G740" s="2" t="s">
        <v>73</v>
      </c>
      <c r="H740" s="2">
        <v>2497.12</v>
      </c>
      <c r="I740" s="2">
        <v>1911.03</v>
      </c>
      <c r="J740" s="2">
        <v>586.09</v>
      </c>
      <c r="K740" s="2" t="s">
        <v>21</v>
      </c>
      <c r="L740" s="2"/>
      <c r="M740" s="2">
        <v>4</v>
      </c>
      <c r="N740" s="2" t="s">
        <v>22</v>
      </c>
    </row>
    <row r="741" spans="1:14" x14ac:dyDescent="0.3">
      <c r="A741" s="2" t="s">
        <v>1291</v>
      </c>
      <c r="B741" s="2" t="s">
        <v>541</v>
      </c>
      <c r="C741" s="2" t="s">
        <v>16</v>
      </c>
      <c r="D741" s="2" t="s">
        <v>17</v>
      </c>
      <c r="E741" s="2" t="s">
        <v>26</v>
      </c>
      <c r="F741" s="2" t="s">
        <v>87</v>
      </c>
      <c r="G741" s="2" t="s">
        <v>73</v>
      </c>
      <c r="H741" s="2">
        <v>1424.4</v>
      </c>
      <c r="I741" s="2">
        <v>942.53</v>
      </c>
      <c r="J741" s="2">
        <v>481.87</v>
      </c>
      <c r="K741" s="2" t="s">
        <v>21</v>
      </c>
      <c r="L741" s="2"/>
      <c r="M741" s="2">
        <v>4</v>
      </c>
      <c r="N741" s="2" t="s">
        <v>29</v>
      </c>
    </row>
    <row r="742" spans="1:14" x14ac:dyDescent="0.3">
      <c r="A742" s="2" t="s">
        <v>1292</v>
      </c>
      <c r="B742" s="2" t="s">
        <v>627</v>
      </c>
      <c r="C742" s="2" t="s">
        <v>111</v>
      </c>
      <c r="D742" s="2" t="s">
        <v>59</v>
      </c>
      <c r="E742" s="2" t="s">
        <v>116</v>
      </c>
      <c r="F742" s="2" t="s">
        <v>463</v>
      </c>
      <c r="G742" s="2" t="s">
        <v>36</v>
      </c>
      <c r="H742" s="2">
        <v>1603.36</v>
      </c>
      <c r="I742" s="2">
        <v>941.77</v>
      </c>
      <c r="J742" s="2">
        <v>661.59</v>
      </c>
      <c r="K742" s="2" t="s">
        <v>21</v>
      </c>
      <c r="L742" s="2"/>
      <c r="M742" s="2">
        <v>5</v>
      </c>
      <c r="N742" s="2" t="s">
        <v>22</v>
      </c>
    </row>
    <row r="743" spans="1:14" x14ac:dyDescent="0.3">
      <c r="A743" s="2" t="s">
        <v>1293</v>
      </c>
      <c r="B743" s="2" t="s">
        <v>1294</v>
      </c>
      <c r="C743" s="2" t="s">
        <v>32</v>
      </c>
      <c r="D743" s="2" t="s">
        <v>17</v>
      </c>
      <c r="E743" s="2"/>
      <c r="F743" s="2" t="s">
        <v>84</v>
      </c>
      <c r="G743" s="2" t="s">
        <v>20</v>
      </c>
      <c r="H743" s="2">
        <v>1689.85</v>
      </c>
      <c r="I743" s="2">
        <v>943.3</v>
      </c>
      <c r="J743" s="2">
        <v>746.55</v>
      </c>
      <c r="K743" s="2" t="s">
        <v>21</v>
      </c>
      <c r="L743" s="2"/>
      <c r="M743" s="2">
        <v>4</v>
      </c>
      <c r="N743" s="2" t="s">
        <v>22</v>
      </c>
    </row>
    <row r="744" spans="1:14" x14ac:dyDescent="0.3">
      <c r="A744" s="2" t="s">
        <v>1295</v>
      </c>
      <c r="B744" s="2" t="s">
        <v>1296</v>
      </c>
      <c r="C744" s="2" t="s">
        <v>111</v>
      </c>
      <c r="D744" s="2" t="s">
        <v>787</v>
      </c>
      <c r="E744" s="2" t="s">
        <v>297</v>
      </c>
      <c r="F744" s="2" t="s">
        <v>19</v>
      </c>
      <c r="G744" s="2" t="s">
        <v>73</v>
      </c>
      <c r="H744" s="2">
        <v>1217.08</v>
      </c>
      <c r="I744" s="2">
        <v>788.96</v>
      </c>
      <c r="J744" s="2">
        <v>428.12</v>
      </c>
      <c r="K744" s="2" t="s">
        <v>21</v>
      </c>
      <c r="L744" s="2"/>
      <c r="M744" s="2">
        <v>4</v>
      </c>
      <c r="N744" s="2" t="s">
        <v>22</v>
      </c>
    </row>
    <row r="745" spans="1:14" x14ac:dyDescent="0.3">
      <c r="A745" s="2" t="s">
        <v>1297</v>
      </c>
      <c r="B745" s="2" t="s">
        <v>121</v>
      </c>
      <c r="C745" s="2" t="s">
        <v>54</v>
      </c>
      <c r="D745" s="2" t="s">
        <v>7</v>
      </c>
      <c r="E745" s="2" t="s">
        <v>69</v>
      </c>
      <c r="F745" s="2" t="s">
        <v>40</v>
      </c>
      <c r="G745" s="2" t="s">
        <v>36</v>
      </c>
      <c r="H745" s="2">
        <v>2134.3000000000002</v>
      </c>
      <c r="I745" s="2">
        <v>1420.58</v>
      </c>
      <c r="J745" s="2">
        <v>713.72</v>
      </c>
      <c r="K745" s="2" t="s">
        <v>21</v>
      </c>
      <c r="L745" s="2"/>
      <c r="M745" s="2">
        <v>5</v>
      </c>
      <c r="N745" s="2" t="s">
        <v>22</v>
      </c>
    </row>
    <row r="746" spans="1:14" x14ac:dyDescent="0.3">
      <c r="A746" s="2" t="s">
        <v>1298</v>
      </c>
      <c r="B746" s="2" t="s">
        <v>458</v>
      </c>
      <c r="C746" s="2" t="s">
        <v>25</v>
      </c>
      <c r="D746" s="2" t="s">
        <v>59</v>
      </c>
      <c r="E746" s="2" t="s">
        <v>155</v>
      </c>
      <c r="F746" s="2" t="s">
        <v>27</v>
      </c>
      <c r="G746" s="2" t="s">
        <v>73</v>
      </c>
      <c r="H746" s="2">
        <v>2256.7800000000002</v>
      </c>
      <c r="I746" s="2">
        <v>1605.88</v>
      </c>
      <c r="J746" s="2">
        <v>650.9</v>
      </c>
      <c r="K746" s="2" t="s">
        <v>56</v>
      </c>
      <c r="L746" s="2">
        <v>1</v>
      </c>
      <c r="M746" s="2">
        <v>3</v>
      </c>
      <c r="N746" s="2" t="s">
        <v>22</v>
      </c>
    </row>
    <row r="747" spans="1:14" x14ac:dyDescent="0.3">
      <c r="A747" s="2" t="s">
        <v>1299</v>
      </c>
      <c r="B747" s="2" t="s">
        <v>1300</v>
      </c>
      <c r="C747" s="2" t="s">
        <v>68</v>
      </c>
      <c r="D747" s="2" t="s">
        <v>33</v>
      </c>
      <c r="E747" s="2" t="s">
        <v>171</v>
      </c>
      <c r="F747" s="2" t="s">
        <v>498</v>
      </c>
      <c r="G747" s="2" t="s">
        <v>28</v>
      </c>
      <c r="H747" s="2">
        <v>1831.27</v>
      </c>
      <c r="I747" s="2">
        <v>1331.95</v>
      </c>
      <c r="J747" s="2">
        <v>499.32</v>
      </c>
      <c r="K747" s="2" t="s">
        <v>21</v>
      </c>
      <c r="L747" s="2"/>
      <c r="M747" s="2">
        <v>3</v>
      </c>
      <c r="N747" s="2" t="s">
        <v>22</v>
      </c>
    </row>
    <row r="748" spans="1:14" x14ac:dyDescent="0.3">
      <c r="A748" s="2" t="s">
        <v>624</v>
      </c>
      <c r="B748" s="2" t="s">
        <v>625</v>
      </c>
      <c r="C748" s="2" t="s">
        <v>124</v>
      </c>
      <c r="D748" s="2" t="s">
        <v>7</v>
      </c>
      <c r="E748" s="2" t="s">
        <v>65</v>
      </c>
      <c r="F748" s="2" t="s">
        <v>35</v>
      </c>
      <c r="G748" s="2" t="s">
        <v>36</v>
      </c>
      <c r="H748" s="2">
        <v>709.61</v>
      </c>
      <c r="I748" s="2">
        <v>411.23</v>
      </c>
      <c r="J748" s="2">
        <v>298.38</v>
      </c>
      <c r="K748" s="2" t="s">
        <v>21</v>
      </c>
      <c r="L748" s="2"/>
      <c r="M748" s="2">
        <v>4</v>
      </c>
      <c r="N748" s="2" t="s">
        <v>22</v>
      </c>
    </row>
    <row r="749" spans="1:14" x14ac:dyDescent="0.3">
      <c r="A749" s="2" t="s">
        <v>1301</v>
      </c>
      <c r="B749" s="2" t="s">
        <v>274</v>
      </c>
      <c r="C749" s="2" t="s">
        <v>25</v>
      </c>
      <c r="D749" s="2" t="s">
        <v>33</v>
      </c>
      <c r="E749" s="2" t="s">
        <v>119</v>
      </c>
      <c r="F749" s="2" t="s">
        <v>35</v>
      </c>
      <c r="G749" s="2" t="s">
        <v>28</v>
      </c>
      <c r="H749" s="2">
        <v>2154.61</v>
      </c>
      <c r="I749" s="2">
        <v>1206.44</v>
      </c>
      <c r="J749" s="2">
        <v>948.17</v>
      </c>
      <c r="K749" s="2" t="s">
        <v>56</v>
      </c>
      <c r="L749" s="2">
        <v>4</v>
      </c>
      <c r="M749" s="2">
        <v>2</v>
      </c>
      <c r="N749" s="2" t="s">
        <v>22</v>
      </c>
    </row>
    <row r="750" spans="1:14" x14ac:dyDescent="0.3">
      <c r="A750" s="2" t="s">
        <v>1302</v>
      </c>
      <c r="B750" s="2" t="s">
        <v>515</v>
      </c>
      <c r="C750" s="2" t="s">
        <v>124</v>
      </c>
      <c r="D750" s="2" t="s">
        <v>277</v>
      </c>
      <c r="E750" s="2" t="s">
        <v>83</v>
      </c>
      <c r="F750" s="2" t="s">
        <v>19</v>
      </c>
      <c r="G750" s="2" t="s">
        <v>20</v>
      </c>
      <c r="H750" s="2">
        <v>769.6</v>
      </c>
      <c r="I750" s="2">
        <v>670.84</v>
      </c>
      <c r="J750" s="2">
        <v>98.76</v>
      </c>
      <c r="K750" s="2" t="s">
        <v>56</v>
      </c>
      <c r="L750" s="2">
        <v>12</v>
      </c>
      <c r="M750" s="2">
        <v>3</v>
      </c>
      <c r="N750" s="2" t="s">
        <v>22</v>
      </c>
    </row>
    <row r="751" spans="1:14" x14ac:dyDescent="0.3">
      <c r="A751" s="2" t="s">
        <v>1303</v>
      </c>
      <c r="B751" s="2" t="s">
        <v>943</v>
      </c>
      <c r="C751" s="2" t="s">
        <v>76</v>
      </c>
      <c r="D751" s="2" t="s">
        <v>33</v>
      </c>
      <c r="E751" s="2" t="s">
        <v>93</v>
      </c>
      <c r="F751" s="2" t="s">
        <v>40</v>
      </c>
      <c r="G751" s="2" t="s">
        <v>44</v>
      </c>
      <c r="H751" s="2">
        <v>2431.9299999999998</v>
      </c>
      <c r="I751" s="2">
        <v>1484.66</v>
      </c>
      <c r="J751" s="2">
        <v>947.27</v>
      </c>
      <c r="K751" s="2" t="s">
        <v>21</v>
      </c>
      <c r="L751" s="2"/>
      <c r="M751" s="2">
        <v>5</v>
      </c>
      <c r="N751" s="2" t="s">
        <v>22</v>
      </c>
    </row>
    <row r="752" spans="1:14" x14ac:dyDescent="0.3">
      <c r="A752" s="2" t="s">
        <v>1304</v>
      </c>
      <c r="B752" s="2" t="s">
        <v>1222</v>
      </c>
      <c r="C752" s="2" t="s">
        <v>124</v>
      </c>
      <c r="D752" s="2" t="s">
        <v>1115</v>
      </c>
      <c r="E752" s="2" t="s">
        <v>69</v>
      </c>
      <c r="F752" s="2" t="s">
        <v>84</v>
      </c>
      <c r="G752" s="2" t="s">
        <v>44</v>
      </c>
      <c r="H752" s="2">
        <v>2343.69</v>
      </c>
      <c r="I752" s="2">
        <v>1807.85</v>
      </c>
      <c r="J752" s="2">
        <v>535.84</v>
      </c>
      <c r="K752" s="2" t="s">
        <v>21</v>
      </c>
      <c r="L752" s="2"/>
      <c r="M752" s="2">
        <v>4</v>
      </c>
      <c r="N752" s="2" t="s">
        <v>29</v>
      </c>
    </row>
    <row r="753" spans="1:14" x14ac:dyDescent="0.3">
      <c r="A753" s="2" t="s">
        <v>1305</v>
      </c>
      <c r="B753" s="2" t="s">
        <v>1306</v>
      </c>
      <c r="C753" s="2" t="s">
        <v>111</v>
      </c>
      <c r="D753" s="2" t="s">
        <v>59</v>
      </c>
      <c r="E753" s="2" t="s">
        <v>301</v>
      </c>
      <c r="F753" s="2" t="s">
        <v>87</v>
      </c>
      <c r="G753" s="2" t="s">
        <v>44</v>
      </c>
      <c r="H753" s="2">
        <v>1672.13</v>
      </c>
      <c r="I753" s="2">
        <v>949.1</v>
      </c>
      <c r="J753" s="2">
        <v>723.03</v>
      </c>
      <c r="K753" s="2" t="s">
        <v>21</v>
      </c>
      <c r="L753" s="2"/>
      <c r="M753" s="2">
        <v>2</v>
      </c>
      <c r="N753" s="2" t="s">
        <v>22</v>
      </c>
    </row>
    <row r="754" spans="1:14" x14ac:dyDescent="0.3">
      <c r="A754" s="2" t="s">
        <v>1307</v>
      </c>
      <c r="B754" s="2" t="s">
        <v>614</v>
      </c>
      <c r="C754" s="2" t="s">
        <v>104</v>
      </c>
      <c r="D754" s="2" t="s">
        <v>7</v>
      </c>
      <c r="E754" s="2" t="s">
        <v>55</v>
      </c>
      <c r="F754" s="2" t="s">
        <v>19</v>
      </c>
      <c r="G754" s="2" t="s">
        <v>44</v>
      </c>
      <c r="H754" s="2">
        <v>934.44</v>
      </c>
      <c r="I754" s="2">
        <v>728.02</v>
      </c>
      <c r="J754" s="2">
        <v>206.42</v>
      </c>
      <c r="K754" s="2" t="s">
        <v>21</v>
      </c>
      <c r="L754" s="2"/>
      <c r="M754" s="2">
        <v>5</v>
      </c>
      <c r="N754" s="2" t="s">
        <v>22</v>
      </c>
    </row>
    <row r="755" spans="1:14" x14ac:dyDescent="0.3">
      <c r="A755" s="2" t="s">
        <v>1308</v>
      </c>
      <c r="B755" s="2" t="s">
        <v>1309</v>
      </c>
      <c r="C755" s="2" t="s">
        <v>54</v>
      </c>
      <c r="D755" s="2" t="s">
        <v>59</v>
      </c>
      <c r="E755" s="2" t="s">
        <v>194</v>
      </c>
      <c r="F755" s="2" t="s">
        <v>19</v>
      </c>
      <c r="G755" s="2" t="s">
        <v>44</v>
      </c>
      <c r="H755" s="2">
        <v>1586.04</v>
      </c>
      <c r="I755" s="2">
        <v>1255.46</v>
      </c>
      <c r="J755" s="2">
        <v>330.58</v>
      </c>
      <c r="K755" s="2" t="s">
        <v>21</v>
      </c>
      <c r="L755" s="2"/>
      <c r="M755" s="2">
        <v>5</v>
      </c>
      <c r="N755" s="2" t="s">
        <v>22</v>
      </c>
    </row>
    <row r="756" spans="1:14" x14ac:dyDescent="0.3">
      <c r="A756" s="2" t="s">
        <v>1310</v>
      </c>
      <c r="B756" s="2" t="s">
        <v>1311</v>
      </c>
      <c r="C756" s="2" t="s">
        <v>124</v>
      </c>
      <c r="D756" s="2" t="s">
        <v>7</v>
      </c>
      <c r="E756" s="2" t="s">
        <v>134</v>
      </c>
      <c r="F756" s="2" t="s">
        <v>40</v>
      </c>
      <c r="G756" s="2" t="s">
        <v>36</v>
      </c>
      <c r="H756" s="2">
        <v>1290.99</v>
      </c>
      <c r="I756" s="2">
        <v>958.24</v>
      </c>
      <c r="J756" s="2">
        <v>332.75</v>
      </c>
      <c r="K756" s="2" t="s">
        <v>21</v>
      </c>
      <c r="L756" s="2"/>
      <c r="M756" s="2">
        <v>5</v>
      </c>
      <c r="N756" s="2" t="s">
        <v>22</v>
      </c>
    </row>
    <row r="757" spans="1:14" x14ac:dyDescent="0.3">
      <c r="A757" s="2" t="s">
        <v>1312</v>
      </c>
      <c r="B757" s="2" t="s">
        <v>1313</v>
      </c>
      <c r="C757" s="2" t="s">
        <v>25</v>
      </c>
      <c r="D757" s="2" t="s">
        <v>17</v>
      </c>
      <c r="E757" s="2" t="s">
        <v>226</v>
      </c>
      <c r="F757" s="2" t="s">
        <v>40</v>
      </c>
      <c r="G757" s="2" t="s">
        <v>44</v>
      </c>
      <c r="H757" s="2">
        <v>2113.69</v>
      </c>
      <c r="I757" s="2">
        <v>1684.49</v>
      </c>
      <c r="J757" s="2">
        <v>429.2</v>
      </c>
      <c r="K757" s="2" t="s">
        <v>21</v>
      </c>
      <c r="L757" s="2"/>
      <c r="M757" s="2">
        <v>3</v>
      </c>
      <c r="N757" s="2" t="s">
        <v>22</v>
      </c>
    </row>
    <row r="758" spans="1:14" x14ac:dyDescent="0.3">
      <c r="A758" s="2" t="s">
        <v>1314</v>
      </c>
      <c r="B758" s="2" t="s">
        <v>138</v>
      </c>
      <c r="C758" s="2" t="s">
        <v>115</v>
      </c>
      <c r="D758" s="2" t="s">
        <v>33</v>
      </c>
      <c r="E758" s="2" t="s">
        <v>297</v>
      </c>
      <c r="F758" s="2" t="s">
        <v>40</v>
      </c>
      <c r="G758" s="2" t="s">
        <v>44</v>
      </c>
      <c r="H758" s="2">
        <v>1017.1</v>
      </c>
      <c r="I758" s="2">
        <v>776.17</v>
      </c>
      <c r="J758" s="2">
        <v>240.93</v>
      </c>
      <c r="K758" s="2" t="s">
        <v>21</v>
      </c>
      <c r="L758" s="2"/>
      <c r="M758" s="2">
        <v>3</v>
      </c>
      <c r="N758" s="2" t="s">
        <v>29</v>
      </c>
    </row>
    <row r="759" spans="1:14" x14ac:dyDescent="0.3">
      <c r="A759" s="2" t="s">
        <v>1315</v>
      </c>
      <c r="B759" s="2" t="s">
        <v>1316</v>
      </c>
      <c r="C759" s="2" t="s">
        <v>115</v>
      </c>
      <c r="D759" s="2" t="s">
        <v>59</v>
      </c>
      <c r="E759" s="2" t="s">
        <v>108</v>
      </c>
      <c r="F759" s="2" t="s">
        <v>40</v>
      </c>
      <c r="G759" s="2" t="s">
        <v>44</v>
      </c>
      <c r="H759" s="2">
        <v>3131.22</v>
      </c>
      <c r="I759" s="2">
        <v>1791.41</v>
      </c>
      <c r="J759" s="2">
        <v>1339.81</v>
      </c>
      <c r="K759" s="2" t="s">
        <v>21</v>
      </c>
      <c r="L759" s="2"/>
      <c r="M759" s="2">
        <v>5</v>
      </c>
      <c r="N759" s="2" t="s">
        <v>22</v>
      </c>
    </row>
    <row r="760" spans="1:14" x14ac:dyDescent="0.3">
      <c r="A760" s="2" t="s">
        <v>1317</v>
      </c>
      <c r="B760" s="2" t="s">
        <v>1318</v>
      </c>
      <c r="C760" s="2" t="s">
        <v>68</v>
      </c>
      <c r="D760" s="2" t="s">
        <v>7</v>
      </c>
      <c r="E760" s="2" t="s">
        <v>65</v>
      </c>
      <c r="F760" s="2" t="s">
        <v>84</v>
      </c>
      <c r="G760" s="2" t="s">
        <v>36</v>
      </c>
      <c r="H760" s="2">
        <v>2433.9699999999998</v>
      </c>
      <c r="I760" s="2">
        <v>1416.7</v>
      </c>
      <c r="J760" s="2">
        <v>1017.27</v>
      </c>
      <c r="K760" s="2" t="s">
        <v>56</v>
      </c>
      <c r="L760" s="2">
        <v>4</v>
      </c>
      <c r="M760" s="2">
        <v>2</v>
      </c>
      <c r="N760" s="2" t="s">
        <v>22</v>
      </c>
    </row>
    <row r="761" spans="1:14" x14ac:dyDescent="0.3">
      <c r="A761" s="2" t="s">
        <v>1319</v>
      </c>
      <c r="B761" s="2" t="s">
        <v>1320</v>
      </c>
      <c r="C761" s="2" t="s">
        <v>68</v>
      </c>
      <c r="D761" s="2" t="s">
        <v>17</v>
      </c>
      <c r="E761" s="2" t="s">
        <v>26</v>
      </c>
      <c r="F761" s="2" t="s">
        <v>19</v>
      </c>
      <c r="G761" s="2" t="s">
        <v>845</v>
      </c>
      <c r="H761" s="2">
        <v>1236.19</v>
      </c>
      <c r="I761" s="2">
        <v>855.85</v>
      </c>
      <c r="J761" s="2">
        <v>380.34</v>
      </c>
      <c r="K761" s="2" t="s">
        <v>21</v>
      </c>
      <c r="L761" s="2"/>
      <c r="M761" s="2">
        <v>5</v>
      </c>
      <c r="N761" s="2" t="s">
        <v>22</v>
      </c>
    </row>
    <row r="762" spans="1:14" x14ac:dyDescent="0.3">
      <c r="A762" s="2" t="s">
        <v>1321</v>
      </c>
      <c r="B762" s="2" t="s">
        <v>1322</v>
      </c>
      <c r="C762" s="2" t="s">
        <v>124</v>
      </c>
      <c r="D762" s="2" t="s">
        <v>33</v>
      </c>
      <c r="E762" s="2" t="s">
        <v>119</v>
      </c>
      <c r="F762" s="2" t="s">
        <v>27</v>
      </c>
      <c r="G762" s="2" t="s">
        <v>176</v>
      </c>
      <c r="H762" s="2">
        <v>2212.52</v>
      </c>
      <c r="I762" s="2">
        <v>1541.48</v>
      </c>
      <c r="J762" s="2">
        <v>671.04</v>
      </c>
      <c r="K762" s="2" t="s">
        <v>56</v>
      </c>
      <c r="L762" s="2">
        <v>4</v>
      </c>
      <c r="M762" s="2">
        <v>3</v>
      </c>
      <c r="N762" s="2" t="s">
        <v>29</v>
      </c>
    </row>
    <row r="763" spans="1:14" x14ac:dyDescent="0.3">
      <c r="A763" s="2" t="s">
        <v>1323</v>
      </c>
      <c r="B763" s="2" t="s">
        <v>136</v>
      </c>
      <c r="C763" s="2" t="s">
        <v>54</v>
      </c>
      <c r="D763" s="2" t="s">
        <v>17</v>
      </c>
      <c r="E763" s="2" t="s">
        <v>72</v>
      </c>
      <c r="F763" s="2" t="s">
        <v>27</v>
      </c>
      <c r="G763" s="2" t="s">
        <v>36</v>
      </c>
      <c r="H763" s="2">
        <v>4514.55</v>
      </c>
      <c r="I763" s="2">
        <v>2626.58</v>
      </c>
      <c r="J763" s="2">
        <v>1887.97</v>
      </c>
      <c r="K763" s="2" t="s">
        <v>21</v>
      </c>
      <c r="L763" s="2"/>
      <c r="M763" s="2">
        <v>4</v>
      </c>
      <c r="N763" s="2" t="s">
        <v>22</v>
      </c>
    </row>
    <row r="764" spans="1:14" x14ac:dyDescent="0.3">
      <c r="A764" s="2" t="s">
        <v>1324</v>
      </c>
      <c r="B764" s="2" t="s">
        <v>1325</v>
      </c>
      <c r="C764" s="2" t="s">
        <v>124</v>
      </c>
      <c r="D764" s="2" t="s">
        <v>59</v>
      </c>
      <c r="E764" s="2" t="s">
        <v>108</v>
      </c>
      <c r="F764" s="2" t="s">
        <v>40</v>
      </c>
      <c r="G764" s="2" t="s">
        <v>44</v>
      </c>
      <c r="H764" s="2">
        <v>1742.37</v>
      </c>
      <c r="I764" s="2">
        <v>1111.3900000000001</v>
      </c>
      <c r="J764" s="2">
        <v>630.98</v>
      </c>
      <c r="K764" s="2" t="s">
        <v>21</v>
      </c>
      <c r="L764" s="2"/>
      <c r="M764" s="2">
        <v>4</v>
      </c>
      <c r="N764" s="2" t="s">
        <v>22</v>
      </c>
    </row>
    <row r="765" spans="1:14" x14ac:dyDescent="0.3">
      <c r="A765" s="2" t="s">
        <v>1326</v>
      </c>
      <c r="B765" s="2" t="s">
        <v>1327</v>
      </c>
      <c r="C765" s="2" t="s">
        <v>115</v>
      </c>
      <c r="D765" s="2" t="s">
        <v>7</v>
      </c>
      <c r="E765" s="2" t="s">
        <v>69</v>
      </c>
      <c r="F765" s="2" t="s">
        <v>40</v>
      </c>
      <c r="G765" s="2" t="s">
        <v>44</v>
      </c>
      <c r="H765" s="2">
        <v>2711.2</v>
      </c>
      <c r="I765" s="2">
        <v>2107.9299999999998</v>
      </c>
      <c r="J765" s="2">
        <v>603.27</v>
      </c>
      <c r="K765" s="2" t="s">
        <v>21</v>
      </c>
      <c r="L765" s="2"/>
      <c r="M765" s="2">
        <v>5</v>
      </c>
      <c r="N765" s="2" t="s">
        <v>22</v>
      </c>
    </row>
    <row r="766" spans="1:14" x14ac:dyDescent="0.3">
      <c r="A766" s="2" t="s">
        <v>1328</v>
      </c>
      <c r="B766" s="2" t="s">
        <v>748</v>
      </c>
      <c r="C766" s="2" t="s">
        <v>25</v>
      </c>
      <c r="D766" s="2" t="s">
        <v>17</v>
      </c>
      <c r="E766" s="2"/>
      <c r="F766" s="2" t="s">
        <v>87</v>
      </c>
      <c r="G766" s="2" t="s">
        <v>36</v>
      </c>
      <c r="H766" s="2">
        <v>2023.51</v>
      </c>
      <c r="I766" s="2">
        <v>1262.1199999999999</v>
      </c>
      <c r="J766" s="2">
        <v>761.39</v>
      </c>
      <c r="K766" s="2" t="s">
        <v>21</v>
      </c>
      <c r="L766" s="2"/>
      <c r="M766" s="2">
        <v>4</v>
      </c>
      <c r="N766" s="2" t="s">
        <v>22</v>
      </c>
    </row>
    <row r="767" spans="1:14" x14ac:dyDescent="0.3">
      <c r="A767" s="2" t="s">
        <v>1329</v>
      </c>
      <c r="B767" s="2" t="s">
        <v>46</v>
      </c>
      <c r="C767" s="2" t="s">
        <v>16</v>
      </c>
      <c r="D767" s="2" t="s">
        <v>17</v>
      </c>
      <c r="E767" s="2" t="s">
        <v>100</v>
      </c>
      <c r="F767" s="2" t="s">
        <v>84</v>
      </c>
      <c r="G767" s="2" t="s">
        <v>44</v>
      </c>
      <c r="H767" s="2">
        <v>1744.75</v>
      </c>
      <c r="I767" s="2">
        <v>1045.67</v>
      </c>
      <c r="J767" s="2">
        <v>699.08</v>
      </c>
      <c r="K767" s="2" t="s">
        <v>21</v>
      </c>
      <c r="L767" s="2"/>
      <c r="M767" s="2">
        <v>4</v>
      </c>
      <c r="N767" s="2" t="s">
        <v>22</v>
      </c>
    </row>
    <row r="768" spans="1:14" x14ac:dyDescent="0.3">
      <c r="A768" s="2" t="s">
        <v>1330</v>
      </c>
      <c r="B768" s="2" t="s">
        <v>1331</v>
      </c>
      <c r="C768" s="2" t="s">
        <v>68</v>
      </c>
      <c r="D768" s="2" t="s">
        <v>17</v>
      </c>
      <c r="E768" s="2" t="s">
        <v>226</v>
      </c>
      <c r="F768" s="2" t="s">
        <v>84</v>
      </c>
      <c r="G768" s="2" t="s">
        <v>44</v>
      </c>
      <c r="H768" s="2">
        <v>3128.72</v>
      </c>
      <c r="I768" s="2">
        <v>2357.79</v>
      </c>
      <c r="J768" s="2">
        <v>770.93</v>
      </c>
      <c r="K768" s="2" t="s">
        <v>21</v>
      </c>
      <c r="L768" s="2"/>
      <c r="M768" s="2">
        <v>3</v>
      </c>
      <c r="N768" s="2" t="s">
        <v>22</v>
      </c>
    </row>
    <row r="769" spans="1:14" x14ac:dyDescent="0.3">
      <c r="A769" s="2" t="s">
        <v>1332</v>
      </c>
      <c r="B769" s="2" t="s">
        <v>289</v>
      </c>
      <c r="C769" s="2" t="s">
        <v>32</v>
      </c>
      <c r="D769" s="2" t="s">
        <v>59</v>
      </c>
      <c r="E769" s="2" t="s">
        <v>155</v>
      </c>
      <c r="F769" s="2" t="s">
        <v>84</v>
      </c>
      <c r="G769" s="2" t="s">
        <v>44</v>
      </c>
      <c r="H769" s="2">
        <v>152.41</v>
      </c>
      <c r="I769" s="2">
        <v>108.14</v>
      </c>
      <c r="J769" s="2">
        <v>44.27</v>
      </c>
      <c r="K769" s="2" t="s">
        <v>21</v>
      </c>
      <c r="L769" s="2"/>
      <c r="M769" s="2">
        <v>5</v>
      </c>
      <c r="N769" s="2" t="s">
        <v>22</v>
      </c>
    </row>
    <row r="770" spans="1:14" x14ac:dyDescent="0.3">
      <c r="A770" s="2" t="s">
        <v>1333</v>
      </c>
      <c r="B770" s="2" t="s">
        <v>473</v>
      </c>
      <c r="C770" s="2" t="s">
        <v>115</v>
      </c>
      <c r="D770" s="2" t="s">
        <v>42</v>
      </c>
      <c r="E770" s="2" t="s">
        <v>43</v>
      </c>
      <c r="F770" s="2" t="s">
        <v>27</v>
      </c>
      <c r="G770" s="2" t="s">
        <v>28</v>
      </c>
      <c r="H770" s="2">
        <v>2443.73</v>
      </c>
      <c r="I770" s="2">
        <v>2178.48</v>
      </c>
      <c r="J770" s="2">
        <v>265.25</v>
      </c>
      <c r="K770" s="2" t="s">
        <v>56</v>
      </c>
      <c r="L770" s="2">
        <v>13</v>
      </c>
      <c r="M770" s="2">
        <v>4</v>
      </c>
      <c r="N770" s="2" t="s">
        <v>29</v>
      </c>
    </row>
    <row r="771" spans="1:14" x14ac:dyDescent="0.3">
      <c r="A771" s="2" t="s">
        <v>1334</v>
      </c>
      <c r="B771" s="2" t="s">
        <v>79</v>
      </c>
      <c r="C771" s="2" t="s">
        <v>25</v>
      </c>
      <c r="D771" s="2" t="s">
        <v>33</v>
      </c>
      <c r="E771" s="2" t="s">
        <v>39</v>
      </c>
      <c r="F771" s="2" t="s">
        <v>19</v>
      </c>
      <c r="G771" s="2" t="s">
        <v>36</v>
      </c>
      <c r="H771" s="2">
        <v>1953.28</v>
      </c>
      <c r="I771" s="2">
        <v>1299.23</v>
      </c>
      <c r="J771" s="2">
        <v>654.04999999999995</v>
      </c>
      <c r="K771" s="2" t="s">
        <v>21</v>
      </c>
      <c r="L771" s="2"/>
      <c r="M771" s="2">
        <v>3</v>
      </c>
      <c r="N771" s="2" t="s">
        <v>22</v>
      </c>
    </row>
    <row r="772" spans="1:14" x14ac:dyDescent="0.3">
      <c r="A772" s="2" t="s">
        <v>1335</v>
      </c>
      <c r="B772" s="2" t="s">
        <v>473</v>
      </c>
      <c r="C772" s="2" t="s">
        <v>115</v>
      </c>
      <c r="D772" s="2" t="s">
        <v>42</v>
      </c>
      <c r="E772" s="2" t="s">
        <v>80</v>
      </c>
      <c r="F772" s="2" t="s">
        <v>19</v>
      </c>
      <c r="G772" s="2" t="s">
        <v>36</v>
      </c>
      <c r="H772" s="2">
        <v>3539.68</v>
      </c>
      <c r="I772" s="2">
        <v>2551.1</v>
      </c>
      <c r="J772" s="2">
        <v>988.58</v>
      </c>
      <c r="K772" s="2" t="s">
        <v>21</v>
      </c>
      <c r="L772" s="2"/>
      <c r="M772" s="2">
        <v>4</v>
      </c>
      <c r="N772" s="2" t="s">
        <v>29</v>
      </c>
    </row>
    <row r="773" spans="1:14" x14ac:dyDescent="0.3">
      <c r="A773" s="2" t="s">
        <v>1336</v>
      </c>
      <c r="B773" s="2" t="s">
        <v>1337</v>
      </c>
      <c r="C773" s="2" t="s">
        <v>32</v>
      </c>
      <c r="D773" s="2" t="s">
        <v>59</v>
      </c>
      <c r="E773" s="2" t="s">
        <v>60</v>
      </c>
      <c r="F773" s="2" t="s">
        <v>19</v>
      </c>
      <c r="G773" s="2" t="s">
        <v>73</v>
      </c>
      <c r="H773" s="2">
        <v>1037.78</v>
      </c>
      <c r="I773" s="2">
        <v>601.89</v>
      </c>
      <c r="J773" s="2">
        <v>435.89</v>
      </c>
      <c r="K773" s="2" t="s">
        <v>21</v>
      </c>
      <c r="L773" s="2"/>
      <c r="M773" s="2">
        <v>5</v>
      </c>
      <c r="N773" s="2" t="s">
        <v>22</v>
      </c>
    </row>
    <row r="774" spans="1:14" x14ac:dyDescent="0.3">
      <c r="A774" s="2" t="s">
        <v>1338</v>
      </c>
      <c r="B774" s="2" t="s">
        <v>770</v>
      </c>
      <c r="C774" s="2" t="s">
        <v>68</v>
      </c>
      <c r="D774" s="2" t="s">
        <v>17</v>
      </c>
      <c r="E774" s="2" t="s">
        <v>26</v>
      </c>
      <c r="F774" s="2" t="s">
        <v>84</v>
      </c>
      <c r="G774" s="2" t="s">
        <v>845</v>
      </c>
      <c r="H774" s="2">
        <v>974.64</v>
      </c>
      <c r="I774" s="2">
        <v>605.5</v>
      </c>
      <c r="J774" s="2">
        <v>369.14</v>
      </c>
      <c r="K774" s="2" t="s">
        <v>21</v>
      </c>
      <c r="L774" s="2"/>
      <c r="M774" s="2">
        <v>5</v>
      </c>
      <c r="N774" s="2" t="s">
        <v>22</v>
      </c>
    </row>
    <row r="775" spans="1:14" x14ac:dyDescent="0.3">
      <c r="A775" s="2" t="s">
        <v>1339</v>
      </c>
      <c r="B775" s="2" t="s">
        <v>1340</v>
      </c>
      <c r="C775" s="2" t="s">
        <v>16</v>
      </c>
      <c r="D775" s="2" t="s">
        <v>59</v>
      </c>
      <c r="E775" s="2" t="s">
        <v>490</v>
      </c>
      <c r="F775" s="2" t="s">
        <v>19</v>
      </c>
      <c r="G775" s="2" t="s">
        <v>73</v>
      </c>
      <c r="H775" s="2">
        <v>2395.09</v>
      </c>
      <c r="I775" s="2">
        <v>1737.53</v>
      </c>
      <c r="J775" s="2">
        <v>657.56</v>
      </c>
      <c r="K775" s="2" t="s">
        <v>21</v>
      </c>
      <c r="L775" s="2"/>
      <c r="M775" s="2">
        <v>5</v>
      </c>
      <c r="N775" s="2" t="s">
        <v>29</v>
      </c>
    </row>
    <row r="776" spans="1:14" x14ac:dyDescent="0.3">
      <c r="A776" s="2" t="s">
        <v>1341</v>
      </c>
      <c r="B776" s="2" t="s">
        <v>943</v>
      </c>
      <c r="C776" s="2" t="s">
        <v>76</v>
      </c>
      <c r="D776" s="2" t="s">
        <v>17</v>
      </c>
      <c r="E776" s="2" t="s">
        <v>18</v>
      </c>
      <c r="F776" s="2" t="s">
        <v>35</v>
      </c>
      <c r="G776" s="2" t="s">
        <v>20</v>
      </c>
      <c r="H776" s="2">
        <v>474.88</v>
      </c>
      <c r="I776" s="2">
        <v>287.10000000000002</v>
      </c>
      <c r="J776" s="2">
        <v>187.78</v>
      </c>
      <c r="K776" s="2" t="s">
        <v>21</v>
      </c>
      <c r="L776" s="2"/>
      <c r="M776" s="2">
        <v>3</v>
      </c>
      <c r="N776" s="2" t="s">
        <v>22</v>
      </c>
    </row>
    <row r="777" spans="1:14" x14ac:dyDescent="0.3">
      <c r="A777" s="2" t="s">
        <v>1342</v>
      </c>
      <c r="B777" s="2" t="s">
        <v>1343</v>
      </c>
      <c r="C777" s="2" t="s">
        <v>104</v>
      </c>
      <c r="D777" s="2" t="s">
        <v>59</v>
      </c>
      <c r="E777" s="2" t="s">
        <v>155</v>
      </c>
      <c r="F777" s="2" t="s">
        <v>84</v>
      </c>
      <c r="G777" s="2" t="s">
        <v>44</v>
      </c>
      <c r="H777" s="2">
        <v>1933.83</v>
      </c>
      <c r="I777" s="2">
        <v>1302.02</v>
      </c>
      <c r="J777" s="2">
        <v>631.80999999999995</v>
      </c>
      <c r="K777" s="2" t="s">
        <v>229</v>
      </c>
      <c r="L777" s="2"/>
      <c r="M777" s="2">
        <v>3</v>
      </c>
      <c r="N777" s="2" t="s">
        <v>22</v>
      </c>
    </row>
    <row r="778" spans="1:14" x14ac:dyDescent="0.3">
      <c r="A778" s="2" t="s">
        <v>1344</v>
      </c>
      <c r="B778" s="2" t="s">
        <v>1345</v>
      </c>
      <c r="C778" s="2" t="s">
        <v>25</v>
      </c>
      <c r="D778" s="2" t="s">
        <v>42</v>
      </c>
      <c r="E778" s="2" t="s">
        <v>83</v>
      </c>
      <c r="F778" s="2" t="s">
        <v>84</v>
      </c>
      <c r="G778" s="2" t="s">
        <v>44</v>
      </c>
      <c r="H778" s="2">
        <v>2848.82</v>
      </c>
      <c r="I778" s="2">
        <v>2385.0500000000002</v>
      </c>
      <c r="J778" s="2">
        <v>463.77</v>
      </c>
      <c r="K778" s="2" t="s">
        <v>90</v>
      </c>
      <c r="L778" s="2">
        <v>8</v>
      </c>
      <c r="M778" s="2">
        <v>1</v>
      </c>
      <c r="N778" s="2" t="s">
        <v>29</v>
      </c>
    </row>
    <row r="779" spans="1:14" x14ac:dyDescent="0.3">
      <c r="A779" s="2" t="s">
        <v>1346</v>
      </c>
      <c r="B779" s="2" t="s">
        <v>840</v>
      </c>
      <c r="C779" s="2" t="s">
        <v>124</v>
      </c>
      <c r="D779" s="2" t="s">
        <v>42</v>
      </c>
      <c r="E779" s="2" t="s">
        <v>43</v>
      </c>
      <c r="F779" s="2" t="s">
        <v>27</v>
      </c>
      <c r="G779" s="2" t="s">
        <v>44</v>
      </c>
      <c r="H779" s="2">
        <v>2619.1</v>
      </c>
      <c r="I779" s="2">
        <v>1943.09</v>
      </c>
      <c r="J779" s="2">
        <v>676.01</v>
      </c>
      <c r="K779" s="2" t="s">
        <v>56</v>
      </c>
      <c r="L779" s="2">
        <v>5</v>
      </c>
      <c r="M779" s="2">
        <v>3</v>
      </c>
      <c r="N779" s="2" t="s">
        <v>29</v>
      </c>
    </row>
    <row r="780" spans="1:14" x14ac:dyDescent="0.3">
      <c r="A780" s="2" t="s">
        <v>1347</v>
      </c>
      <c r="B780" s="2" t="s">
        <v>1348</v>
      </c>
      <c r="C780" s="2" t="s">
        <v>32</v>
      </c>
      <c r="D780" s="2" t="s">
        <v>33</v>
      </c>
      <c r="E780" s="2" t="s">
        <v>39</v>
      </c>
      <c r="F780" s="2" t="s">
        <v>84</v>
      </c>
      <c r="G780" s="2" t="s">
        <v>44</v>
      </c>
      <c r="H780" s="2">
        <v>2516.33</v>
      </c>
      <c r="I780" s="2">
        <v>1937.37</v>
      </c>
      <c r="J780" s="2">
        <v>578.96</v>
      </c>
      <c r="K780" s="2" t="s">
        <v>21</v>
      </c>
      <c r="L780" s="2"/>
      <c r="M780" s="2">
        <v>4</v>
      </c>
      <c r="N780" s="2" t="s">
        <v>22</v>
      </c>
    </row>
    <row r="781" spans="1:14" x14ac:dyDescent="0.3">
      <c r="A781" s="2" t="s">
        <v>1349</v>
      </c>
      <c r="B781" s="2" t="s">
        <v>213</v>
      </c>
      <c r="C781" s="2" t="s">
        <v>25</v>
      </c>
      <c r="D781" s="2" t="s">
        <v>33</v>
      </c>
      <c r="E781" s="2" t="s">
        <v>93</v>
      </c>
      <c r="F781" s="2" t="s">
        <v>35</v>
      </c>
      <c r="G781" s="2" t="s">
        <v>28</v>
      </c>
      <c r="H781" s="2">
        <v>1238.82</v>
      </c>
      <c r="I781" s="2">
        <v>758.76</v>
      </c>
      <c r="J781" s="2">
        <v>480.06</v>
      </c>
      <c r="K781" s="2" t="s">
        <v>21</v>
      </c>
      <c r="L781" s="2"/>
      <c r="M781" s="2"/>
      <c r="N781" s="2" t="s">
        <v>22</v>
      </c>
    </row>
    <row r="782" spans="1:14" x14ac:dyDescent="0.3">
      <c r="A782" s="2" t="s">
        <v>1350</v>
      </c>
      <c r="B782" s="2" t="s">
        <v>1351</v>
      </c>
      <c r="C782" s="2" t="s">
        <v>54</v>
      </c>
      <c r="D782" s="2" t="s">
        <v>42</v>
      </c>
      <c r="E782" s="2" t="s">
        <v>262</v>
      </c>
      <c r="F782" s="2" t="s">
        <v>40</v>
      </c>
      <c r="G782" s="2" t="s">
        <v>28</v>
      </c>
      <c r="H782" s="2">
        <v>1373.01</v>
      </c>
      <c r="I782" s="2">
        <v>1082.1099999999999</v>
      </c>
      <c r="J782" s="2">
        <v>290.89999999999998</v>
      </c>
      <c r="K782" s="2" t="s">
        <v>56</v>
      </c>
      <c r="L782" s="2">
        <v>6</v>
      </c>
      <c r="M782" s="2">
        <v>3</v>
      </c>
      <c r="N782" s="2" t="s">
        <v>22</v>
      </c>
    </row>
    <row r="783" spans="1:14" x14ac:dyDescent="0.3">
      <c r="A783" s="2" t="s">
        <v>1352</v>
      </c>
      <c r="B783" s="2" t="s">
        <v>1353</v>
      </c>
      <c r="C783" s="2" t="s">
        <v>16</v>
      </c>
      <c r="D783" s="2" t="s">
        <v>7</v>
      </c>
      <c r="E783" s="2" t="s">
        <v>55</v>
      </c>
      <c r="F783" s="2" t="s">
        <v>84</v>
      </c>
      <c r="G783" s="2" t="s">
        <v>36</v>
      </c>
      <c r="H783" s="2">
        <v>849.94</v>
      </c>
      <c r="I783" s="2">
        <v>630.03</v>
      </c>
      <c r="J783" s="2">
        <v>219.91</v>
      </c>
      <c r="K783" s="2" t="s">
        <v>21</v>
      </c>
      <c r="L783" s="2"/>
      <c r="M783" s="2">
        <v>4</v>
      </c>
      <c r="N783" s="2" t="s">
        <v>22</v>
      </c>
    </row>
    <row r="784" spans="1:14" x14ac:dyDescent="0.3">
      <c r="A784" s="2" t="s">
        <v>1354</v>
      </c>
      <c r="B784" s="2" t="s">
        <v>1355</v>
      </c>
      <c r="C784" s="2" t="s">
        <v>16</v>
      </c>
      <c r="D784" s="2" t="s">
        <v>33</v>
      </c>
      <c r="E784" s="2" t="s">
        <v>39</v>
      </c>
      <c r="F784" s="2" t="s">
        <v>87</v>
      </c>
      <c r="G784" s="2" t="s">
        <v>73</v>
      </c>
      <c r="H784" s="2">
        <v>771.89</v>
      </c>
      <c r="I784" s="2">
        <v>435.92</v>
      </c>
      <c r="J784" s="2">
        <v>335.97</v>
      </c>
      <c r="K784" s="2" t="s">
        <v>21</v>
      </c>
      <c r="L784" s="2"/>
      <c r="M784" s="2">
        <v>5</v>
      </c>
      <c r="N784" s="2" t="s">
        <v>22</v>
      </c>
    </row>
    <row r="785" spans="1:14" x14ac:dyDescent="0.3">
      <c r="A785" s="2" t="s">
        <v>1356</v>
      </c>
      <c r="B785" s="2" t="s">
        <v>936</v>
      </c>
      <c r="C785" s="2" t="s">
        <v>635</v>
      </c>
      <c r="D785" s="2" t="s">
        <v>7</v>
      </c>
      <c r="E785" s="2" t="s">
        <v>182</v>
      </c>
      <c r="F785" s="2" t="s">
        <v>84</v>
      </c>
      <c r="G785" s="2" t="s">
        <v>28</v>
      </c>
      <c r="H785" s="2">
        <v>1737.86</v>
      </c>
      <c r="I785" s="2">
        <v>965.3</v>
      </c>
      <c r="J785" s="2">
        <v>772.56</v>
      </c>
      <c r="K785" s="2" t="s">
        <v>21</v>
      </c>
      <c r="L785" s="2"/>
      <c r="M785" s="2">
        <v>4</v>
      </c>
      <c r="N785" s="2" t="s">
        <v>22</v>
      </c>
    </row>
    <row r="786" spans="1:14" x14ac:dyDescent="0.3">
      <c r="A786" s="2" t="s">
        <v>1357</v>
      </c>
      <c r="B786" s="2" t="s">
        <v>1358</v>
      </c>
      <c r="C786" s="2" t="s">
        <v>32</v>
      </c>
      <c r="D786" s="2" t="s">
        <v>33</v>
      </c>
      <c r="E786" s="2" t="s">
        <v>297</v>
      </c>
      <c r="F786" s="2" t="s">
        <v>84</v>
      </c>
      <c r="G786" s="2" t="s">
        <v>73</v>
      </c>
      <c r="H786" s="2">
        <v>2457.0700000000002</v>
      </c>
      <c r="I786" s="2">
        <v>1781.21</v>
      </c>
      <c r="J786" s="2">
        <v>675.86</v>
      </c>
      <c r="K786" s="2" t="s">
        <v>21</v>
      </c>
      <c r="L786" s="2"/>
      <c r="M786" s="2">
        <v>3</v>
      </c>
      <c r="N786" s="2" t="s">
        <v>29</v>
      </c>
    </row>
    <row r="787" spans="1:14" x14ac:dyDescent="0.3">
      <c r="A787" s="2" t="s">
        <v>1359</v>
      </c>
      <c r="B787" s="2" t="s">
        <v>425</v>
      </c>
      <c r="C787" s="2" t="s">
        <v>64</v>
      </c>
      <c r="D787" s="2" t="s">
        <v>59</v>
      </c>
      <c r="E787" s="2" t="s">
        <v>60</v>
      </c>
      <c r="F787" s="2" t="s">
        <v>35</v>
      </c>
      <c r="G787" s="2" t="s">
        <v>36</v>
      </c>
      <c r="H787" s="2">
        <v>1067.93</v>
      </c>
      <c r="I787" s="2">
        <v>704.15</v>
      </c>
      <c r="J787" s="2">
        <v>363.78</v>
      </c>
      <c r="K787" s="2" t="s">
        <v>56</v>
      </c>
      <c r="L787" s="2">
        <v>6</v>
      </c>
      <c r="M787" s="2">
        <v>1</v>
      </c>
      <c r="N787" s="2" t="s">
        <v>22</v>
      </c>
    </row>
    <row r="788" spans="1:14" x14ac:dyDescent="0.3">
      <c r="A788" s="2" t="s">
        <v>1360</v>
      </c>
      <c r="B788" s="2" t="s">
        <v>231</v>
      </c>
      <c r="C788" s="2" t="s">
        <v>76</v>
      </c>
      <c r="D788" s="2" t="s">
        <v>7</v>
      </c>
      <c r="E788" s="2" t="s">
        <v>182</v>
      </c>
      <c r="F788" s="2" t="s">
        <v>87</v>
      </c>
      <c r="G788" s="2" t="s">
        <v>20</v>
      </c>
      <c r="H788" s="2">
        <v>1451.48</v>
      </c>
      <c r="I788" s="2">
        <v>944.33</v>
      </c>
      <c r="J788" s="2">
        <v>507.15</v>
      </c>
      <c r="K788" s="2" t="s">
        <v>56</v>
      </c>
      <c r="L788" s="2">
        <v>7</v>
      </c>
      <c r="M788" s="2">
        <v>3</v>
      </c>
      <c r="N788" s="2" t="s">
        <v>22</v>
      </c>
    </row>
    <row r="789" spans="1:14" x14ac:dyDescent="0.3">
      <c r="A789" s="2" t="s">
        <v>1361</v>
      </c>
      <c r="B789" s="2" t="s">
        <v>366</v>
      </c>
      <c r="C789" s="2" t="s">
        <v>64</v>
      </c>
      <c r="D789" s="2" t="s">
        <v>375</v>
      </c>
      <c r="E789" s="2" t="s">
        <v>83</v>
      </c>
      <c r="F789" s="2" t="s">
        <v>27</v>
      </c>
      <c r="G789" s="2" t="s">
        <v>20</v>
      </c>
      <c r="H789" s="2">
        <v>2374.4299999999998</v>
      </c>
      <c r="I789" s="2">
        <v>1710.41</v>
      </c>
      <c r="J789" s="2">
        <v>664.02</v>
      </c>
      <c r="K789" s="2" t="s">
        <v>21</v>
      </c>
      <c r="L789" s="2"/>
      <c r="M789" s="2">
        <v>5</v>
      </c>
      <c r="N789" s="2" t="s">
        <v>29</v>
      </c>
    </row>
    <row r="790" spans="1:14" x14ac:dyDescent="0.3">
      <c r="A790" s="2" t="s">
        <v>1362</v>
      </c>
      <c r="B790" s="2" t="s">
        <v>623</v>
      </c>
      <c r="C790" s="2" t="s">
        <v>104</v>
      </c>
      <c r="D790" s="2" t="s">
        <v>59</v>
      </c>
      <c r="E790" s="2" t="s">
        <v>308</v>
      </c>
      <c r="F790" s="2" t="s">
        <v>87</v>
      </c>
      <c r="G790" s="2" t="s">
        <v>36</v>
      </c>
      <c r="H790" s="2">
        <v>748.2</v>
      </c>
      <c r="I790" s="2">
        <v>591.54999999999995</v>
      </c>
      <c r="J790" s="2">
        <v>156.65</v>
      </c>
      <c r="K790" s="2" t="s">
        <v>56</v>
      </c>
      <c r="L790" s="2">
        <v>6</v>
      </c>
      <c r="M790" s="2">
        <v>3</v>
      </c>
      <c r="N790" s="2" t="s">
        <v>22</v>
      </c>
    </row>
    <row r="791" spans="1:14" x14ac:dyDescent="0.3">
      <c r="A791" s="2" t="s">
        <v>1363</v>
      </c>
      <c r="B791" s="2" t="s">
        <v>103</v>
      </c>
      <c r="C791" s="2" t="s">
        <v>104</v>
      </c>
      <c r="D791" s="2" t="s">
        <v>42</v>
      </c>
      <c r="E791" s="2" t="s">
        <v>162</v>
      </c>
      <c r="F791" s="2" t="s">
        <v>40</v>
      </c>
      <c r="G791" s="2" t="s">
        <v>20</v>
      </c>
      <c r="H791" s="2">
        <v>1034.82</v>
      </c>
      <c r="I791" s="2">
        <v>735.78</v>
      </c>
      <c r="J791" s="2">
        <v>299.04000000000002</v>
      </c>
      <c r="K791" s="2" t="s">
        <v>21</v>
      </c>
      <c r="L791" s="2"/>
      <c r="M791" s="2">
        <v>4</v>
      </c>
      <c r="N791" s="2" t="s">
        <v>22</v>
      </c>
    </row>
    <row r="792" spans="1:14" x14ac:dyDescent="0.3">
      <c r="A792" s="2" t="s">
        <v>1364</v>
      </c>
      <c r="B792" s="2" t="s">
        <v>930</v>
      </c>
      <c r="C792" s="2" t="s">
        <v>111</v>
      </c>
      <c r="D792" s="2" t="s">
        <v>59</v>
      </c>
      <c r="E792" s="2" t="s">
        <v>301</v>
      </c>
      <c r="F792" s="2" t="s">
        <v>87</v>
      </c>
      <c r="G792" s="2" t="s">
        <v>36</v>
      </c>
      <c r="H792" s="2">
        <v>2603.48</v>
      </c>
      <c r="I792" s="2">
        <v>1785.03</v>
      </c>
      <c r="J792" s="2">
        <v>818.45</v>
      </c>
      <c r="K792" s="2" t="s">
        <v>21</v>
      </c>
      <c r="L792" s="2"/>
      <c r="M792" s="2">
        <v>5</v>
      </c>
      <c r="N792" s="2" t="s">
        <v>22</v>
      </c>
    </row>
    <row r="793" spans="1:14" x14ac:dyDescent="0.3">
      <c r="A793" s="2" t="s">
        <v>1365</v>
      </c>
      <c r="B793" s="2" t="s">
        <v>1366</v>
      </c>
      <c r="C793" s="2" t="s">
        <v>76</v>
      </c>
      <c r="D793" s="2" t="s">
        <v>787</v>
      </c>
      <c r="E793" s="2" t="s">
        <v>171</v>
      </c>
      <c r="F793" s="2" t="s">
        <v>40</v>
      </c>
      <c r="G793" s="2" t="s">
        <v>73</v>
      </c>
      <c r="H793" s="2">
        <v>3255.21</v>
      </c>
      <c r="I793" s="2">
        <v>1858.78</v>
      </c>
      <c r="J793" s="2">
        <v>1396.43</v>
      </c>
      <c r="K793" s="2" t="s">
        <v>21</v>
      </c>
      <c r="L793" s="2"/>
      <c r="M793" s="2">
        <v>4</v>
      </c>
      <c r="N793" s="2" t="s">
        <v>22</v>
      </c>
    </row>
    <row r="794" spans="1:14" x14ac:dyDescent="0.3">
      <c r="A794" s="2" t="s">
        <v>1367</v>
      </c>
      <c r="B794" s="2" t="s">
        <v>1368</v>
      </c>
      <c r="C794" s="2" t="s">
        <v>111</v>
      </c>
      <c r="D794" s="2" t="s">
        <v>59</v>
      </c>
      <c r="E794" s="2" t="s">
        <v>301</v>
      </c>
      <c r="F794" s="2" t="s">
        <v>40</v>
      </c>
      <c r="G794" s="2" t="s">
        <v>36</v>
      </c>
      <c r="H794" s="2">
        <v>3236.93</v>
      </c>
      <c r="I794" s="2">
        <v>2556.2800000000002</v>
      </c>
      <c r="J794" s="2">
        <v>680.65</v>
      </c>
      <c r="K794" s="2" t="s">
        <v>21</v>
      </c>
      <c r="L794" s="2"/>
      <c r="M794" s="2">
        <v>3</v>
      </c>
      <c r="N794" s="2" t="s">
        <v>22</v>
      </c>
    </row>
    <row r="795" spans="1:14" x14ac:dyDescent="0.3">
      <c r="A795" s="2" t="s">
        <v>1369</v>
      </c>
      <c r="B795" s="2" t="s">
        <v>279</v>
      </c>
      <c r="C795" s="2" t="s">
        <v>115</v>
      </c>
      <c r="D795" s="2" t="s">
        <v>33</v>
      </c>
      <c r="E795" s="2" t="s">
        <v>34</v>
      </c>
      <c r="F795" s="2" t="s">
        <v>35</v>
      </c>
      <c r="G795" s="2" t="s">
        <v>36</v>
      </c>
      <c r="H795" s="2">
        <v>4147.79</v>
      </c>
      <c r="I795" s="2">
        <v>2481.25</v>
      </c>
      <c r="J795" s="2">
        <v>1666.54</v>
      </c>
      <c r="K795" s="2" t="s">
        <v>21</v>
      </c>
      <c r="L795" s="2"/>
      <c r="M795" s="2">
        <v>5</v>
      </c>
      <c r="N795" s="2" t="s">
        <v>29</v>
      </c>
    </row>
    <row r="796" spans="1:14" x14ac:dyDescent="0.3">
      <c r="A796" s="2" t="s">
        <v>1370</v>
      </c>
      <c r="B796" s="2" t="s">
        <v>888</v>
      </c>
      <c r="C796" s="2" t="s">
        <v>115</v>
      </c>
      <c r="D796" s="2" t="s">
        <v>7</v>
      </c>
      <c r="E796" s="2" t="s">
        <v>55</v>
      </c>
      <c r="F796" s="2" t="s">
        <v>19</v>
      </c>
      <c r="G796" s="2" t="s">
        <v>36</v>
      </c>
      <c r="H796" s="2">
        <v>262.14999999999998</v>
      </c>
      <c r="I796" s="2">
        <v>164.25</v>
      </c>
      <c r="J796" s="2">
        <v>97.9</v>
      </c>
      <c r="K796" s="2" t="s">
        <v>21</v>
      </c>
      <c r="L796" s="2"/>
      <c r="M796" s="2">
        <v>3</v>
      </c>
      <c r="N796" s="2" t="s">
        <v>22</v>
      </c>
    </row>
    <row r="797" spans="1:14" x14ac:dyDescent="0.3">
      <c r="A797" s="2" t="s">
        <v>674</v>
      </c>
      <c r="B797" s="2" t="s">
        <v>675</v>
      </c>
      <c r="C797" s="2" t="s">
        <v>54</v>
      </c>
      <c r="D797" s="2" t="s">
        <v>328</v>
      </c>
      <c r="E797" s="2" t="s">
        <v>72</v>
      </c>
      <c r="F797" s="2" t="s">
        <v>35</v>
      </c>
      <c r="G797" s="2" t="s">
        <v>28</v>
      </c>
      <c r="H797" s="2">
        <v>590.25</v>
      </c>
      <c r="I797" s="2">
        <v>465.95</v>
      </c>
      <c r="J797" s="2">
        <v>124.3</v>
      </c>
      <c r="K797" s="2" t="s">
        <v>56</v>
      </c>
      <c r="L797" s="2">
        <v>3</v>
      </c>
      <c r="M797" s="2">
        <v>1</v>
      </c>
      <c r="N797" s="2" t="s">
        <v>22</v>
      </c>
    </row>
    <row r="798" spans="1:14" x14ac:dyDescent="0.3">
      <c r="A798" s="2" t="s">
        <v>1371</v>
      </c>
      <c r="B798" s="2" t="s">
        <v>346</v>
      </c>
      <c r="C798" s="2" t="s">
        <v>179</v>
      </c>
      <c r="D798" s="2" t="s">
        <v>7</v>
      </c>
      <c r="E798" s="2" t="s">
        <v>55</v>
      </c>
      <c r="F798" s="2" t="s">
        <v>40</v>
      </c>
      <c r="G798" s="2" t="s">
        <v>44</v>
      </c>
      <c r="H798" s="2">
        <v>1100.3900000000001</v>
      </c>
      <c r="I798" s="2">
        <v>713.44</v>
      </c>
      <c r="J798" s="2">
        <v>386.95</v>
      </c>
      <c r="K798" s="2" t="s">
        <v>21</v>
      </c>
      <c r="L798" s="2"/>
      <c r="M798" s="2">
        <v>5</v>
      </c>
      <c r="N798" s="2" t="s">
        <v>22</v>
      </c>
    </row>
    <row r="799" spans="1:14" x14ac:dyDescent="0.3">
      <c r="A799" s="2" t="s">
        <v>1372</v>
      </c>
      <c r="B799" s="2" t="s">
        <v>1373</v>
      </c>
      <c r="C799" s="2" t="s">
        <v>124</v>
      </c>
      <c r="D799" s="2" t="s">
        <v>33</v>
      </c>
      <c r="E799" s="2" t="s">
        <v>105</v>
      </c>
      <c r="F799" s="2" t="s">
        <v>35</v>
      </c>
      <c r="G799" s="2" t="s">
        <v>1374</v>
      </c>
      <c r="H799" s="2">
        <v>2244.92</v>
      </c>
      <c r="I799" s="2">
        <v>1559.62</v>
      </c>
      <c r="J799" s="2">
        <v>685.3</v>
      </c>
      <c r="K799" s="2" t="s">
        <v>21</v>
      </c>
      <c r="L799" s="2"/>
      <c r="M799" s="2">
        <v>4</v>
      </c>
      <c r="N799" s="2" t="s">
        <v>22</v>
      </c>
    </row>
    <row r="800" spans="1:14" x14ac:dyDescent="0.3">
      <c r="A800" s="2" t="s">
        <v>1375</v>
      </c>
      <c r="B800" s="2" t="s">
        <v>557</v>
      </c>
      <c r="C800" s="2" t="s">
        <v>16</v>
      </c>
      <c r="D800" s="2" t="s">
        <v>59</v>
      </c>
      <c r="E800" s="2" t="s">
        <v>194</v>
      </c>
      <c r="F800" s="2" t="s">
        <v>27</v>
      </c>
      <c r="G800" s="2" t="s">
        <v>44</v>
      </c>
      <c r="H800" s="2">
        <v>1224.1600000000001</v>
      </c>
      <c r="I800" s="2">
        <v>719.85</v>
      </c>
      <c r="J800" s="2">
        <v>504.31</v>
      </c>
      <c r="K800" s="2" t="s">
        <v>21</v>
      </c>
      <c r="L800" s="2"/>
      <c r="M800" s="2">
        <v>4</v>
      </c>
      <c r="N800" s="2" t="s">
        <v>22</v>
      </c>
    </row>
    <row r="801" spans="1:14" x14ac:dyDescent="0.3">
      <c r="A801" s="2" t="s">
        <v>1376</v>
      </c>
      <c r="B801" s="2" t="s">
        <v>1377</v>
      </c>
      <c r="C801" s="2" t="s">
        <v>115</v>
      </c>
      <c r="D801" s="2" t="s">
        <v>7</v>
      </c>
      <c r="E801" s="2" t="s">
        <v>69</v>
      </c>
      <c r="F801" s="2" t="s">
        <v>19</v>
      </c>
      <c r="G801" s="2" t="s">
        <v>28</v>
      </c>
      <c r="H801" s="2">
        <v>511.32</v>
      </c>
      <c r="I801" s="2">
        <v>335.67</v>
      </c>
      <c r="J801" s="2">
        <v>175.65</v>
      </c>
      <c r="K801" s="2" t="s">
        <v>21</v>
      </c>
      <c r="L801" s="2"/>
      <c r="M801" s="2">
        <v>2</v>
      </c>
      <c r="N801" s="2" t="s">
        <v>22</v>
      </c>
    </row>
    <row r="802" spans="1:14" x14ac:dyDescent="0.3">
      <c r="A802" s="2" t="s">
        <v>1378</v>
      </c>
      <c r="B802" s="2" t="s">
        <v>79</v>
      </c>
      <c r="C802" s="2" t="s">
        <v>25</v>
      </c>
      <c r="D802" s="2" t="s">
        <v>33</v>
      </c>
      <c r="E802" s="2" t="s">
        <v>105</v>
      </c>
      <c r="F802" s="2" t="s">
        <v>40</v>
      </c>
      <c r="G802" s="2" t="s">
        <v>73</v>
      </c>
      <c r="H802" s="2">
        <v>189.6</v>
      </c>
      <c r="I802" s="2">
        <v>114.27</v>
      </c>
      <c r="J802" s="2">
        <v>75.33</v>
      </c>
      <c r="K802" s="2" t="s">
        <v>21</v>
      </c>
      <c r="L802" s="2"/>
      <c r="M802" s="2">
        <v>4</v>
      </c>
      <c r="N802" s="2" t="s">
        <v>22</v>
      </c>
    </row>
    <row r="803" spans="1:14" x14ac:dyDescent="0.3">
      <c r="A803" s="2" t="s">
        <v>1379</v>
      </c>
      <c r="B803" s="2" t="s">
        <v>377</v>
      </c>
      <c r="C803" s="2" t="s">
        <v>32</v>
      </c>
      <c r="D803" s="2" t="s">
        <v>7</v>
      </c>
      <c r="E803" s="2" t="s">
        <v>182</v>
      </c>
      <c r="F803" s="2" t="s">
        <v>27</v>
      </c>
      <c r="G803" s="2" t="s">
        <v>28</v>
      </c>
      <c r="H803" s="2">
        <v>881.7</v>
      </c>
      <c r="I803" s="2">
        <v>641.03</v>
      </c>
      <c r="J803" s="2">
        <v>240.67</v>
      </c>
      <c r="K803" s="2" t="s">
        <v>21</v>
      </c>
      <c r="L803" s="2"/>
      <c r="M803" s="2">
        <v>5</v>
      </c>
      <c r="N803" s="2" t="s">
        <v>22</v>
      </c>
    </row>
    <row r="804" spans="1:14" x14ac:dyDescent="0.3">
      <c r="A804" s="2" t="s">
        <v>1380</v>
      </c>
      <c r="B804" s="2" t="s">
        <v>609</v>
      </c>
      <c r="C804" s="2" t="s">
        <v>115</v>
      </c>
      <c r="D804" s="2" t="s">
        <v>59</v>
      </c>
      <c r="E804" s="2" t="s">
        <v>490</v>
      </c>
      <c r="F804" s="2"/>
      <c r="G804" s="2" t="s">
        <v>73</v>
      </c>
      <c r="H804" s="2">
        <v>1783.1</v>
      </c>
      <c r="I804" s="2">
        <v>1309.03</v>
      </c>
      <c r="J804" s="2">
        <v>474.07</v>
      </c>
      <c r="K804" s="2" t="s">
        <v>21</v>
      </c>
      <c r="L804" s="2"/>
      <c r="M804" s="2">
        <v>5</v>
      </c>
      <c r="N804" s="2" t="s">
        <v>29</v>
      </c>
    </row>
    <row r="805" spans="1:14" x14ac:dyDescent="0.3">
      <c r="A805" s="2" t="s">
        <v>1381</v>
      </c>
      <c r="B805" s="2" t="s">
        <v>1382</v>
      </c>
      <c r="C805" s="2" t="s">
        <v>32</v>
      </c>
      <c r="D805" s="2" t="s">
        <v>59</v>
      </c>
      <c r="E805" s="2" t="s">
        <v>60</v>
      </c>
      <c r="F805" s="2" t="s">
        <v>40</v>
      </c>
      <c r="G805" s="2" t="s">
        <v>20</v>
      </c>
      <c r="H805" s="2">
        <v>981.71</v>
      </c>
      <c r="I805" s="2">
        <v>752.31</v>
      </c>
      <c r="J805" s="2">
        <v>229.4</v>
      </c>
      <c r="K805" s="2" t="s">
        <v>21</v>
      </c>
      <c r="L805" s="2"/>
      <c r="M805" s="2">
        <v>5</v>
      </c>
      <c r="N805" s="2" t="s">
        <v>22</v>
      </c>
    </row>
    <row r="806" spans="1:14" x14ac:dyDescent="0.3">
      <c r="A806" s="2" t="s">
        <v>1383</v>
      </c>
      <c r="B806" s="2" t="s">
        <v>1274</v>
      </c>
      <c r="C806" s="2" t="s">
        <v>54</v>
      </c>
      <c r="D806" s="2" t="s">
        <v>17</v>
      </c>
      <c r="E806" s="2" t="s">
        <v>226</v>
      </c>
      <c r="F806" s="2" t="s">
        <v>35</v>
      </c>
      <c r="G806" s="2" t="s">
        <v>36</v>
      </c>
      <c r="H806" s="2">
        <v>873.88</v>
      </c>
      <c r="I806" s="2">
        <v>530.41</v>
      </c>
      <c r="J806" s="2">
        <v>343.47</v>
      </c>
      <c r="K806" s="2" t="s">
        <v>338</v>
      </c>
      <c r="L806" s="2"/>
      <c r="M806" s="2">
        <v>5</v>
      </c>
      <c r="N806" s="2" t="s">
        <v>22</v>
      </c>
    </row>
    <row r="807" spans="1:14" x14ac:dyDescent="0.3">
      <c r="A807" s="2" t="s">
        <v>1384</v>
      </c>
      <c r="B807" s="2" t="s">
        <v>1385</v>
      </c>
      <c r="C807" s="2" t="s">
        <v>115</v>
      </c>
      <c r="D807" s="2" t="s">
        <v>33</v>
      </c>
      <c r="E807" s="2" t="s">
        <v>105</v>
      </c>
      <c r="F807" s="2" t="s">
        <v>87</v>
      </c>
      <c r="G807" s="2" t="s">
        <v>20</v>
      </c>
      <c r="H807" s="2">
        <v>1601.92</v>
      </c>
      <c r="I807" s="2">
        <v>1086.8900000000001</v>
      </c>
      <c r="J807" s="2">
        <v>515.03</v>
      </c>
      <c r="K807" s="2" t="s">
        <v>21</v>
      </c>
      <c r="L807" s="2"/>
      <c r="M807" s="2">
        <v>5</v>
      </c>
      <c r="N807" s="2" t="s">
        <v>22</v>
      </c>
    </row>
    <row r="808" spans="1:14" x14ac:dyDescent="0.3">
      <c r="A808" s="2" t="s">
        <v>1386</v>
      </c>
      <c r="B808" s="2" t="s">
        <v>673</v>
      </c>
      <c r="C808" s="2" t="s">
        <v>76</v>
      </c>
      <c r="D808" s="2" t="s">
        <v>59</v>
      </c>
      <c r="E808" s="2" t="s">
        <v>490</v>
      </c>
      <c r="F808" s="2" t="s">
        <v>40</v>
      </c>
      <c r="G808" s="2" t="s">
        <v>28</v>
      </c>
      <c r="H808" s="2">
        <v>2233.17</v>
      </c>
      <c r="I808" s="2">
        <v>1385.94</v>
      </c>
      <c r="J808" s="2">
        <v>847.23</v>
      </c>
      <c r="K808" s="2" t="s">
        <v>21</v>
      </c>
      <c r="L808" s="2"/>
      <c r="M808" s="2">
        <v>3</v>
      </c>
      <c r="N808" s="2" t="s">
        <v>22</v>
      </c>
    </row>
    <row r="809" spans="1:14" x14ac:dyDescent="0.3">
      <c r="A809" s="2" t="s">
        <v>1387</v>
      </c>
      <c r="B809" s="2" t="s">
        <v>907</v>
      </c>
      <c r="C809" s="2" t="s">
        <v>827</v>
      </c>
      <c r="D809" s="2" t="s">
        <v>7</v>
      </c>
      <c r="E809" s="2" t="s">
        <v>134</v>
      </c>
      <c r="F809" s="2" t="s">
        <v>27</v>
      </c>
      <c r="G809" s="2" t="s">
        <v>28</v>
      </c>
      <c r="H809" s="2">
        <v>2460.66</v>
      </c>
      <c r="I809" s="2">
        <v>1609.75</v>
      </c>
      <c r="J809" s="2">
        <v>850.91</v>
      </c>
      <c r="K809" s="2" t="s">
        <v>56</v>
      </c>
      <c r="L809" s="2">
        <v>3</v>
      </c>
      <c r="M809" s="2">
        <v>2</v>
      </c>
      <c r="N809" s="2" t="s">
        <v>22</v>
      </c>
    </row>
    <row r="810" spans="1:14" x14ac:dyDescent="0.3">
      <c r="A810" s="2" t="s">
        <v>1388</v>
      </c>
      <c r="B810" s="2" t="s">
        <v>330</v>
      </c>
      <c r="C810" s="2" t="s">
        <v>124</v>
      </c>
      <c r="D810" s="2" t="s">
        <v>17</v>
      </c>
      <c r="E810" s="2" t="s">
        <v>26</v>
      </c>
      <c r="F810" s="2" t="s">
        <v>87</v>
      </c>
      <c r="G810" s="2" t="s">
        <v>73</v>
      </c>
      <c r="H810" s="2">
        <v>2261.87</v>
      </c>
      <c r="I810" s="2">
        <v>1647.26</v>
      </c>
      <c r="J810" s="2">
        <v>614.61</v>
      </c>
      <c r="K810" s="2" t="s">
        <v>21</v>
      </c>
      <c r="L810" s="2"/>
      <c r="M810" s="2">
        <v>4</v>
      </c>
      <c r="N810" s="2" t="s">
        <v>22</v>
      </c>
    </row>
    <row r="811" spans="1:14" x14ac:dyDescent="0.3">
      <c r="A811" s="2" t="s">
        <v>1389</v>
      </c>
      <c r="B811" s="2" t="s">
        <v>1390</v>
      </c>
      <c r="C811" s="2" t="s">
        <v>124</v>
      </c>
      <c r="D811" s="2" t="s">
        <v>7</v>
      </c>
      <c r="E811" s="2" t="s">
        <v>182</v>
      </c>
      <c r="F811" s="2" t="s">
        <v>87</v>
      </c>
      <c r="G811" s="2" t="s">
        <v>20</v>
      </c>
      <c r="H811" s="2">
        <v>3344.76</v>
      </c>
      <c r="I811" s="2">
        <v>1883.19</v>
      </c>
      <c r="J811" s="2">
        <v>1461.57</v>
      </c>
      <c r="K811" s="2" t="s">
        <v>21</v>
      </c>
      <c r="L811" s="2"/>
      <c r="M811" s="2">
        <v>3</v>
      </c>
      <c r="N811" s="2" t="s">
        <v>22</v>
      </c>
    </row>
    <row r="812" spans="1:14" x14ac:dyDescent="0.3">
      <c r="A812" s="2" t="s">
        <v>1391</v>
      </c>
      <c r="B812" s="2" t="s">
        <v>691</v>
      </c>
      <c r="C812" s="2" t="s">
        <v>54</v>
      </c>
      <c r="D812" s="2" t="s">
        <v>42</v>
      </c>
      <c r="E812" s="2" t="s">
        <v>262</v>
      </c>
      <c r="F812" s="2" t="s">
        <v>27</v>
      </c>
      <c r="G812" s="2" t="s">
        <v>73</v>
      </c>
      <c r="H812" s="2">
        <v>397.78</v>
      </c>
      <c r="I812" s="2">
        <v>365.14</v>
      </c>
      <c r="J812" s="2">
        <v>32.64</v>
      </c>
      <c r="K812" s="2" t="s">
        <v>21</v>
      </c>
      <c r="L812" s="2"/>
      <c r="M812" s="2">
        <v>5</v>
      </c>
      <c r="N812" s="2" t="s">
        <v>22</v>
      </c>
    </row>
    <row r="813" spans="1:14" x14ac:dyDescent="0.3">
      <c r="A813" s="2" t="s">
        <v>1392</v>
      </c>
      <c r="B813" s="2" t="s">
        <v>1393</v>
      </c>
      <c r="C813" s="2" t="s">
        <v>16</v>
      </c>
      <c r="D813" s="2" t="s">
        <v>7</v>
      </c>
      <c r="E813" s="2" t="s">
        <v>69</v>
      </c>
      <c r="F813" s="2" t="s">
        <v>87</v>
      </c>
      <c r="G813" s="2" t="s">
        <v>36</v>
      </c>
      <c r="H813" s="2">
        <v>1200.1600000000001</v>
      </c>
      <c r="I813" s="2">
        <v>856.02</v>
      </c>
      <c r="J813" s="2">
        <v>344.14</v>
      </c>
      <c r="K813" s="2" t="s">
        <v>21</v>
      </c>
      <c r="L813" s="2"/>
      <c r="M813" s="2">
        <v>5</v>
      </c>
      <c r="N813" s="2" t="s">
        <v>22</v>
      </c>
    </row>
    <row r="814" spans="1:14" x14ac:dyDescent="0.3">
      <c r="A814" s="2" t="s">
        <v>1394</v>
      </c>
      <c r="B814" s="2" t="s">
        <v>1390</v>
      </c>
      <c r="C814" s="2" t="s">
        <v>124</v>
      </c>
      <c r="D814" s="2" t="s">
        <v>7</v>
      </c>
      <c r="E814" s="2" t="s">
        <v>182</v>
      </c>
      <c r="F814" s="2" t="s">
        <v>87</v>
      </c>
      <c r="G814" s="2" t="s">
        <v>28</v>
      </c>
      <c r="H814" s="2">
        <v>3426.25</v>
      </c>
      <c r="I814" s="2">
        <v>2340.73</v>
      </c>
      <c r="J814" s="2">
        <v>1085.52</v>
      </c>
      <c r="K814" s="2" t="s">
        <v>56</v>
      </c>
      <c r="L814" s="2">
        <v>3</v>
      </c>
      <c r="M814" s="2">
        <v>2</v>
      </c>
      <c r="N814" s="2" t="s">
        <v>22</v>
      </c>
    </row>
    <row r="815" spans="1:14" x14ac:dyDescent="0.3">
      <c r="A815" s="2" t="s">
        <v>1395</v>
      </c>
      <c r="B815" s="2" t="s">
        <v>291</v>
      </c>
      <c r="C815" s="2" t="s">
        <v>124</v>
      </c>
      <c r="D815" s="2" t="s">
        <v>42</v>
      </c>
      <c r="E815" s="2" t="s">
        <v>43</v>
      </c>
      <c r="F815" s="2" t="s">
        <v>40</v>
      </c>
      <c r="G815" s="2" t="s">
        <v>20</v>
      </c>
      <c r="H815" s="2">
        <v>3123.44</v>
      </c>
      <c r="I815" s="2">
        <v>2489.23</v>
      </c>
      <c r="J815" s="2">
        <v>634.21</v>
      </c>
      <c r="K815" s="2" t="s">
        <v>56</v>
      </c>
      <c r="L815" s="2">
        <v>8</v>
      </c>
      <c r="M815" s="2">
        <v>3</v>
      </c>
      <c r="N815" s="2" t="s">
        <v>22</v>
      </c>
    </row>
    <row r="816" spans="1:14" x14ac:dyDescent="0.3">
      <c r="A816" s="2" t="s">
        <v>1396</v>
      </c>
      <c r="B816" s="2" t="s">
        <v>307</v>
      </c>
      <c r="C816" s="2" t="s">
        <v>115</v>
      </c>
      <c r="D816" s="2" t="s">
        <v>17</v>
      </c>
      <c r="E816" s="2" t="s">
        <v>18</v>
      </c>
      <c r="F816" s="2" t="s">
        <v>27</v>
      </c>
      <c r="G816" s="2" t="s">
        <v>73</v>
      </c>
      <c r="H816" s="2">
        <v>1181.17</v>
      </c>
      <c r="I816" s="2">
        <v>941.25</v>
      </c>
      <c r="J816" s="2">
        <v>239.92</v>
      </c>
      <c r="K816" s="2" t="s">
        <v>229</v>
      </c>
      <c r="L816" s="2"/>
      <c r="M816" s="2">
        <v>4</v>
      </c>
      <c r="N816" s="2" t="s">
        <v>22</v>
      </c>
    </row>
    <row r="817" spans="1:14" x14ac:dyDescent="0.3">
      <c r="A817" s="2" t="s">
        <v>1397</v>
      </c>
      <c r="B817" s="2" t="s">
        <v>344</v>
      </c>
      <c r="C817" s="2" t="s">
        <v>64</v>
      </c>
      <c r="D817" s="2" t="s">
        <v>42</v>
      </c>
      <c r="E817" s="2" t="s">
        <v>43</v>
      </c>
      <c r="F817" s="2" t="s">
        <v>19</v>
      </c>
      <c r="G817" s="2" t="s">
        <v>28</v>
      </c>
      <c r="H817" s="2">
        <v>2064.5500000000002</v>
      </c>
      <c r="I817" s="2">
        <v>1890.52</v>
      </c>
      <c r="J817" s="2">
        <v>174.03</v>
      </c>
      <c r="K817" s="2" t="s">
        <v>56</v>
      </c>
      <c r="L817" s="2">
        <v>10</v>
      </c>
      <c r="M817" s="2">
        <v>3</v>
      </c>
      <c r="N817" s="2" t="s">
        <v>29</v>
      </c>
    </row>
    <row r="818" spans="1:14" x14ac:dyDescent="0.3">
      <c r="A818" s="2" t="s">
        <v>1398</v>
      </c>
      <c r="B818" s="2" t="s">
        <v>221</v>
      </c>
      <c r="C818" s="2" t="s">
        <v>25</v>
      </c>
      <c r="D818" s="2" t="s">
        <v>33</v>
      </c>
      <c r="E818" s="2" t="s">
        <v>171</v>
      </c>
      <c r="F818" s="2" t="s">
        <v>84</v>
      </c>
      <c r="G818" s="2" t="s">
        <v>28</v>
      </c>
      <c r="H818" s="2">
        <v>2692</v>
      </c>
      <c r="I818" s="2">
        <v>1588.05</v>
      </c>
      <c r="J818" s="2">
        <v>1103.95</v>
      </c>
      <c r="K818" s="2" t="s">
        <v>21</v>
      </c>
      <c r="L818" s="2"/>
      <c r="M818" s="2">
        <v>5</v>
      </c>
      <c r="N818" s="2" t="s">
        <v>22</v>
      </c>
    </row>
    <row r="819" spans="1:14" x14ac:dyDescent="0.3">
      <c r="A819" s="2" t="s">
        <v>1399</v>
      </c>
      <c r="B819" s="2" t="s">
        <v>1400</v>
      </c>
      <c r="C819" s="2" t="s">
        <v>179</v>
      </c>
      <c r="D819" s="2" t="s">
        <v>17</v>
      </c>
      <c r="E819" s="2" t="s">
        <v>226</v>
      </c>
      <c r="F819" s="2" t="s">
        <v>19</v>
      </c>
      <c r="G819" s="2" t="s">
        <v>20</v>
      </c>
      <c r="H819" s="2">
        <v>1160.24</v>
      </c>
      <c r="I819" s="2">
        <v>875.27</v>
      </c>
      <c r="J819" s="2">
        <v>284.97000000000003</v>
      </c>
      <c r="K819" s="2" t="s">
        <v>21</v>
      </c>
      <c r="L819" s="2"/>
      <c r="M819" s="2">
        <v>4</v>
      </c>
      <c r="N819" s="2" t="s">
        <v>22</v>
      </c>
    </row>
    <row r="820" spans="1:14" x14ac:dyDescent="0.3">
      <c r="A820" s="2" t="s">
        <v>1401</v>
      </c>
      <c r="B820" s="2" t="s">
        <v>990</v>
      </c>
      <c r="C820" s="2" t="s">
        <v>68</v>
      </c>
      <c r="D820" s="2" t="s">
        <v>59</v>
      </c>
      <c r="E820" s="2" t="s">
        <v>108</v>
      </c>
      <c r="F820" s="2" t="s">
        <v>19</v>
      </c>
      <c r="G820" s="2" t="s">
        <v>845</v>
      </c>
      <c r="H820" s="2">
        <v>1751.63</v>
      </c>
      <c r="I820" s="2">
        <v>1041.8599999999999</v>
      </c>
      <c r="J820" s="2">
        <v>709.77</v>
      </c>
      <c r="K820" s="2" t="s">
        <v>21</v>
      </c>
      <c r="L820" s="2"/>
      <c r="M820" s="2">
        <v>4</v>
      </c>
      <c r="N820" s="2" t="s">
        <v>22</v>
      </c>
    </row>
    <row r="821" spans="1:14" x14ac:dyDescent="0.3">
      <c r="A821" s="2" t="s">
        <v>1402</v>
      </c>
      <c r="B821" s="2" t="s">
        <v>1403</v>
      </c>
      <c r="C821" s="2" t="s">
        <v>115</v>
      </c>
      <c r="D821" s="2" t="s">
        <v>1115</v>
      </c>
      <c r="E821" s="2" t="s">
        <v>131</v>
      </c>
      <c r="F821" s="2" t="s">
        <v>87</v>
      </c>
      <c r="G821" s="2" t="s">
        <v>36</v>
      </c>
      <c r="H821" s="2">
        <v>865.33</v>
      </c>
      <c r="I821" s="2">
        <v>513.27</v>
      </c>
      <c r="J821" s="2">
        <v>352.06</v>
      </c>
      <c r="K821" s="2" t="s">
        <v>21</v>
      </c>
      <c r="L821" s="2"/>
      <c r="M821" s="2">
        <v>4</v>
      </c>
      <c r="N821" s="2" t="s">
        <v>29</v>
      </c>
    </row>
    <row r="822" spans="1:14" x14ac:dyDescent="0.3">
      <c r="A822" s="2" t="s">
        <v>1404</v>
      </c>
      <c r="B822" s="2" t="s">
        <v>63</v>
      </c>
      <c r="C822" s="2" t="s">
        <v>64</v>
      </c>
      <c r="D822" s="2" t="s">
        <v>7</v>
      </c>
      <c r="E822" s="2"/>
      <c r="F822" s="2" t="s">
        <v>40</v>
      </c>
      <c r="G822" s="2" t="s">
        <v>28</v>
      </c>
      <c r="H822" s="2">
        <v>2779.34</v>
      </c>
      <c r="I822" s="2">
        <v>1855.87</v>
      </c>
      <c r="J822" s="2">
        <v>923.47</v>
      </c>
      <c r="K822" s="2" t="s">
        <v>56</v>
      </c>
      <c r="L822" s="2">
        <v>3</v>
      </c>
      <c r="M822" s="2">
        <v>2</v>
      </c>
      <c r="N822" s="2" t="s">
        <v>22</v>
      </c>
    </row>
    <row r="823" spans="1:14" x14ac:dyDescent="0.3">
      <c r="A823" s="2" t="s">
        <v>1405</v>
      </c>
      <c r="B823" s="2" t="s">
        <v>1271</v>
      </c>
      <c r="C823" s="2" t="s">
        <v>68</v>
      </c>
      <c r="D823" s="2" t="s">
        <v>42</v>
      </c>
      <c r="E823" s="2" t="s">
        <v>262</v>
      </c>
      <c r="F823" s="2" t="s">
        <v>27</v>
      </c>
      <c r="G823" s="2" t="s">
        <v>73</v>
      </c>
      <c r="H823" s="2">
        <v>2689.85</v>
      </c>
      <c r="I823" s="2">
        <v>2291.5700000000002</v>
      </c>
      <c r="J823" s="2">
        <v>398.28</v>
      </c>
      <c r="K823" s="2" t="s">
        <v>338</v>
      </c>
      <c r="L823" s="2"/>
      <c r="M823" s="2">
        <v>4</v>
      </c>
      <c r="N823" s="2" t="s">
        <v>22</v>
      </c>
    </row>
    <row r="824" spans="1:14" x14ac:dyDescent="0.3">
      <c r="A824" s="2" t="s">
        <v>1406</v>
      </c>
      <c r="B824" s="2" t="s">
        <v>503</v>
      </c>
      <c r="C824" s="2" t="s">
        <v>76</v>
      </c>
      <c r="D824" s="2" t="s">
        <v>33</v>
      </c>
      <c r="E824" s="2" t="s">
        <v>93</v>
      </c>
      <c r="F824" s="2" t="s">
        <v>35</v>
      </c>
      <c r="G824" s="2" t="s">
        <v>20</v>
      </c>
      <c r="H824" s="2">
        <v>2247.08</v>
      </c>
      <c r="I824" s="2">
        <v>1475.88</v>
      </c>
      <c r="J824" s="2">
        <v>771.2</v>
      </c>
      <c r="K824" s="2" t="s">
        <v>56</v>
      </c>
      <c r="L824" s="2">
        <v>10</v>
      </c>
      <c r="M824" s="2">
        <v>3</v>
      </c>
      <c r="N824" s="2" t="s">
        <v>22</v>
      </c>
    </row>
    <row r="825" spans="1:14" x14ac:dyDescent="0.3">
      <c r="A825" s="2" t="s">
        <v>1407</v>
      </c>
      <c r="B825" s="2" t="s">
        <v>642</v>
      </c>
      <c r="C825" s="2" t="s">
        <v>64</v>
      </c>
      <c r="D825" s="2" t="s">
        <v>33</v>
      </c>
      <c r="E825" s="2" t="s">
        <v>105</v>
      </c>
      <c r="F825" s="2" t="s">
        <v>35</v>
      </c>
      <c r="G825" s="2" t="s">
        <v>299</v>
      </c>
      <c r="H825" s="2">
        <v>726.89</v>
      </c>
      <c r="I825" s="2">
        <v>455.16</v>
      </c>
      <c r="J825" s="2">
        <v>271.73</v>
      </c>
      <c r="K825" s="2" t="s">
        <v>56</v>
      </c>
      <c r="L825" s="2">
        <v>5</v>
      </c>
      <c r="M825" s="2">
        <v>2</v>
      </c>
      <c r="N825" s="2" t="s">
        <v>29</v>
      </c>
    </row>
    <row r="826" spans="1:14" x14ac:dyDescent="0.3">
      <c r="A826" s="2" t="s">
        <v>1408</v>
      </c>
      <c r="B826" s="2" t="s">
        <v>380</v>
      </c>
      <c r="C826" s="2" t="s">
        <v>104</v>
      </c>
      <c r="D826" s="2" t="s">
        <v>7</v>
      </c>
      <c r="E826" s="2" t="s">
        <v>65</v>
      </c>
      <c r="F826" s="2" t="s">
        <v>19</v>
      </c>
      <c r="G826" s="2" t="s">
        <v>20</v>
      </c>
      <c r="H826" s="2">
        <v>2586.25</v>
      </c>
      <c r="I826" s="2">
        <v>1931.29</v>
      </c>
      <c r="J826" s="2">
        <v>654.96</v>
      </c>
      <c r="K826" s="2" t="s">
        <v>21</v>
      </c>
      <c r="L826" s="2"/>
      <c r="M826" s="2">
        <v>5</v>
      </c>
      <c r="N826" s="2" t="s">
        <v>22</v>
      </c>
    </row>
    <row r="827" spans="1:14" x14ac:dyDescent="0.3">
      <c r="A827" s="2" t="s">
        <v>1409</v>
      </c>
      <c r="B827" s="2" t="s">
        <v>357</v>
      </c>
      <c r="C827" s="2" t="s">
        <v>179</v>
      </c>
      <c r="D827" s="2" t="s">
        <v>7</v>
      </c>
      <c r="E827" s="2" t="s">
        <v>128</v>
      </c>
      <c r="F827" s="2" t="s">
        <v>19</v>
      </c>
      <c r="G827" s="2" t="s">
        <v>28</v>
      </c>
      <c r="H827" s="2">
        <v>993.02</v>
      </c>
      <c r="I827" s="2">
        <v>730.83</v>
      </c>
      <c r="J827" s="2">
        <v>262.19</v>
      </c>
      <c r="K827" s="2" t="s">
        <v>21</v>
      </c>
      <c r="L827" s="2"/>
      <c r="M827" s="2">
        <v>3</v>
      </c>
      <c r="N827" s="2" t="s">
        <v>22</v>
      </c>
    </row>
    <row r="828" spans="1:14" x14ac:dyDescent="0.3">
      <c r="A828" s="2" t="s">
        <v>1333</v>
      </c>
      <c r="B828" s="2" t="s">
        <v>473</v>
      </c>
      <c r="C828" s="2" t="s">
        <v>115</v>
      </c>
      <c r="D828" s="2" t="s">
        <v>42</v>
      </c>
      <c r="E828" s="2" t="s">
        <v>43</v>
      </c>
      <c r="F828" s="2" t="s">
        <v>27</v>
      </c>
      <c r="G828" s="2" t="s">
        <v>28</v>
      </c>
      <c r="H828" s="2">
        <v>2443.73</v>
      </c>
      <c r="I828" s="2">
        <v>2178.48</v>
      </c>
      <c r="J828" s="2">
        <v>265.25</v>
      </c>
      <c r="K828" s="2" t="s">
        <v>56</v>
      </c>
      <c r="L828" s="2">
        <v>13</v>
      </c>
      <c r="M828" s="2">
        <v>4</v>
      </c>
      <c r="N828" s="2" t="s">
        <v>29</v>
      </c>
    </row>
    <row r="829" spans="1:14" x14ac:dyDescent="0.3">
      <c r="A829" s="2" t="s">
        <v>1410</v>
      </c>
      <c r="B829" s="2" t="s">
        <v>136</v>
      </c>
      <c r="C829" s="2" t="s">
        <v>54</v>
      </c>
      <c r="D829" s="2" t="s">
        <v>33</v>
      </c>
      <c r="E829" s="2" t="s">
        <v>297</v>
      </c>
      <c r="F829" s="2" t="s">
        <v>19</v>
      </c>
      <c r="G829" s="2" t="s">
        <v>73</v>
      </c>
      <c r="H829" s="2">
        <v>1974.08</v>
      </c>
      <c r="I829" s="2">
        <v>1158.0999999999999</v>
      </c>
      <c r="J829" s="2">
        <v>815.98</v>
      </c>
      <c r="K829" s="2" t="s">
        <v>56</v>
      </c>
      <c r="L829" s="2">
        <v>7</v>
      </c>
      <c r="M829" s="2">
        <v>2</v>
      </c>
      <c r="N829" s="2" t="s">
        <v>22</v>
      </c>
    </row>
    <row r="830" spans="1:14" x14ac:dyDescent="0.3">
      <c r="A830" s="2" t="s">
        <v>1411</v>
      </c>
      <c r="B830" s="2" t="s">
        <v>1412</v>
      </c>
      <c r="C830" s="2" t="s">
        <v>54</v>
      </c>
      <c r="D830" s="2" t="s">
        <v>7</v>
      </c>
      <c r="E830" s="2" t="s">
        <v>55</v>
      </c>
      <c r="F830" s="2" t="s">
        <v>27</v>
      </c>
      <c r="G830" s="2" t="s">
        <v>36</v>
      </c>
      <c r="H830" s="2">
        <v>1870.71</v>
      </c>
      <c r="I830" s="2">
        <v>1265.3699999999999</v>
      </c>
      <c r="J830" s="2">
        <v>605.34</v>
      </c>
      <c r="K830" s="2" t="s">
        <v>21</v>
      </c>
      <c r="L830" s="2"/>
      <c r="M830" s="2">
        <v>4</v>
      </c>
      <c r="N830" s="2" t="s">
        <v>22</v>
      </c>
    </row>
    <row r="831" spans="1:14" x14ac:dyDescent="0.3">
      <c r="A831" s="2" t="s">
        <v>1413</v>
      </c>
      <c r="B831" s="2" t="s">
        <v>1414</v>
      </c>
      <c r="C831" s="2" t="s">
        <v>76</v>
      </c>
      <c r="D831" s="2" t="s">
        <v>59</v>
      </c>
      <c r="E831" s="2" t="s">
        <v>155</v>
      </c>
      <c r="F831" s="2" t="s">
        <v>84</v>
      </c>
      <c r="G831" s="2" t="s">
        <v>73</v>
      </c>
      <c r="H831" s="2">
        <v>3201.34</v>
      </c>
      <c r="I831" s="2">
        <v>1814.93</v>
      </c>
      <c r="J831" s="2">
        <v>1386.41</v>
      </c>
      <c r="K831" s="2" t="s">
        <v>21</v>
      </c>
      <c r="L831" s="2"/>
      <c r="M831" s="2">
        <v>5</v>
      </c>
      <c r="N831" s="2" t="s">
        <v>29</v>
      </c>
    </row>
    <row r="832" spans="1:14" x14ac:dyDescent="0.3">
      <c r="A832" s="2" t="s">
        <v>1415</v>
      </c>
      <c r="B832" s="2" t="s">
        <v>860</v>
      </c>
      <c r="C832" s="2" t="s">
        <v>16</v>
      </c>
      <c r="D832" s="2" t="s">
        <v>33</v>
      </c>
      <c r="E832" s="2" t="s">
        <v>105</v>
      </c>
      <c r="F832" s="2" t="s">
        <v>40</v>
      </c>
      <c r="G832" s="2" t="s">
        <v>36</v>
      </c>
      <c r="H832" s="2">
        <v>2230.6</v>
      </c>
      <c r="I832" s="2">
        <v>1496.41</v>
      </c>
      <c r="J832" s="2">
        <v>734.19</v>
      </c>
      <c r="K832" s="2" t="s">
        <v>21</v>
      </c>
      <c r="L832" s="2"/>
      <c r="M832" s="2">
        <v>5</v>
      </c>
      <c r="N832" s="2" t="s">
        <v>22</v>
      </c>
    </row>
    <row r="833" spans="1:14" x14ac:dyDescent="0.3">
      <c r="A833" s="2" t="s">
        <v>1416</v>
      </c>
      <c r="B833" s="2" t="s">
        <v>460</v>
      </c>
      <c r="C833" s="2" t="s">
        <v>16</v>
      </c>
      <c r="D833" s="2" t="s">
        <v>17</v>
      </c>
      <c r="E833" s="2" t="s">
        <v>51</v>
      </c>
      <c r="F833" s="2" t="s">
        <v>19</v>
      </c>
      <c r="G833" s="2" t="s">
        <v>73</v>
      </c>
      <c r="H833" s="2">
        <v>2759.45</v>
      </c>
      <c r="I833" s="2">
        <v>1854.06</v>
      </c>
      <c r="J833" s="2">
        <v>905.39</v>
      </c>
      <c r="K833" s="2" t="s">
        <v>21</v>
      </c>
      <c r="L833" s="2"/>
      <c r="M833" s="2">
        <v>4</v>
      </c>
      <c r="N833" s="2" t="s">
        <v>22</v>
      </c>
    </row>
    <row r="834" spans="1:14" x14ac:dyDescent="0.3">
      <c r="A834" s="2" t="s">
        <v>1417</v>
      </c>
      <c r="B834" s="2" t="s">
        <v>1418</v>
      </c>
      <c r="C834" s="2" t="s">
        <v>115</v>
      </c>
      <c r="D834" s="2" t="s">
        <v>17</v>
      </c>
      <c r="E834" s="2" t="s">
        <v>100</v>
      </c>
      <c r="F834" s="2" t="s">
        <v>35</v>
      </c>
      <c r="G834" s="2" t="s">
        <v>28</v>
      </c>
      <c r="H834" s="2">
        <v>2823.99</v>
      </c>
      <c r="I834" s="2">
        <v>1981.81</v>
      </c>
      <c r="J834" s="2">
        <v>842.18</v>
      </c>
      <c r="K834" s="2" t="s">
        <v>21</v>
      </c>
      <c r="L834" s="2"/>
      <c r="M834" s="2">
        <v>4</v>
      </c>
      <c r="N834" s="2" t="s">
        <v>22</v>
      </c>
    </row>
    <row r="835" spans="1:14" x14ac:dyDescent="0.3">
      <c r="A835" s="2" t="s">
        <v>1419</v>
      </c>
      <c r="B835" s="2" t="s">
        <v>1420</v>
      </c>
      <c r="C835" s="2" t="s">
        <v>64</v>
      </c>
      <c r="D835" s="2" t="s">
        <v>42</v>
      </c>
      <c r="E835" s="2" t="s">
        <v>214</v>
      </c>
      <c r="F835" s="2" t="s">
        <v>19</v>
      </c>
      <c r="G835" s="2" t="s">
        <v>28</v>
      </c>
      <c r="H835" s="2">
        <v>1154.1099999999999</v>
      </c>
      <c r="I835" s="2">
        <v>1009.56</v>
      </c>
      <c r="J835" s="2">
        <v>144.55000000000001</v>
      </c>
      <c r="K835" s="2" t="s">
        <v>21</v>
      </c>
      <c r="L835" s="2"/>
      <c r="M835" s="2">
        <v>5</v>
      </c>
      <c r="N835" s="2" t="s">
        <v>22</v>
      </c>
    </row>
    <row r="836" spans="1:14" x14ac:dyDescent="0.3">
      <c r="A836" s="2" t="s">
        <v>1302</v>
      </c>
      <c r="B836" s="2" t="s">
        <v>515</v>
      </c>
      <c r="C836" s="2" t="s">
        <v>124</v>
      </c>
      <c r="D836" s="2" t="s">
        <v>277</v>
      </c>
      <c r="E836" s="2" t="s">
        <v>83</v>
      </c>
      <c r="F836" s="2" t="s">
        <v>19</v>
      </c>
      <c r="G836" s="2" t="s">
        <v>20</v>
      </c>
      <c r="H836" s="2">
        <v>769.6</v>
      </c>
      <c r="I836" s="2">
        <v>670.84</v>
      </c>
      <c r="J836" s="2">
        <v>98.76</v>
      </c>
      <c r="K836" s="2" t="s">
        <v>56</v>
      </c>
      <c r="L836" s="2">
        <v>12</v>
      </c>
      <c r="M836" s="2">
        <v>3</v>
      </c>
      <c r="N836" s="2" t="s">
        <v>22</v>
      </c>
    </row>
    <row r="837" spans="1:14" x14ac:dyDescent="0.3">
      <c r="A837" s="2" t="s">
        <v>1421</v>
      </c>
      <c r="B837" s="2" t="s">
        <v>1422</v>
      </c>
      <c r="C837" s="2" t="s">
        <v>111</v>
      </c>
      <c r="D837" s="2" t="s">
        <v>59</v>
      </c>
      <c r="E837" s="2" t="s">
        <v>194</v>
      </c>
      <c r="F837" s="2" t="s">
        <v>40</v>
      </c>
      <c r="G837" s="2" t="s">
        <v>73</v>
      </c>
      <c r="H837" s="2">
        <v>446.07</v>
      </c>
      <c r="I837" s="2">
        <v>342.5</v>
      </c>
      <c r="J837" s="2">
        <v>103.57</v>
      </c>
      <c r="K837" s="2" t="s">
        <v>21</v>
      </c>
      <c r="L837" s="2"/>
      <c r="M837" s="2">
        <v>3</v>
      </c>
      <c r="N837" s="2" t="s">
        <v>22</v>
      </c>
    </row>
    <row r="838" spans="1:14" x14ac:dyDescent="0.3">
      <c r="A838" s="2" t="s">
        <v>1423</v>
      </c>
      <c r="B838" s="2" t="s">
        <v>1424</v>
      </c>
      <c r="C838" s="2" t="s">
        <v>104</v>
      </c>
      <c r="D838" s="2" t="s">
        <v>33</v>
      </c>
      <c r="E838" s="2" t="s">
        <v>105</v>
      </c>
      <c r="F838" s="2" t="s">
        <v>84</v>
      </c>
      <c r="G838" s="2" t="s">
        <v>20</v>
      </c>
      <c r="H838" s="2">
        <v>1914.93</v>
      </c>
      <c r="I838" s="2">
        <v>1181.29</v>
      </c>
      <c r="J838" s="2">
        <v>733.64</v>
      </c>
      <c r="K838" s="2" t="s">
        <v>56</v>
      </c>
      <c r="L838" s="2">
        <v>8</v>
      </c>
      <c r="M838" s="2">
        <v>2</v>
      </c>
      <c r="N838" s="2" t="s">
        <v>29</v>
      </c>
    </row>
    <row r="839" spans="1:14" x14ac:dyDescent="0.3">
      <c r="A839" s="2" t="s">
        <v>383</v>
      </c>
      <c r="B839" s="2" t="s">
        <v>384</v>
      </c>
      <c r="C839" s="2" t="s">
        <v>64</v>
      </c>
      <c r="D839" s="2" t="s">
        <v>17</v>
      </c>
      <c r="E839" s="2" t="s">
        <v>51</v>
      </c>
      <c r="F839" s="2" t="s">
        <v>84</v>
      </c>
      <c r="G839" s="2" t="s">
        <v>28</v>
      </c>
      <c r="H839" s="2">
        <v>2018.74</v>
      </c>
      <c r="I839" s="2">
        <v>1294.82</v>
      </c>
      <c r="J839" s="2">
        <v>723.92</v>
      </c>
      <c r="K839" s="2" t="s">
        <v>21</v>
      </c>
      <c r="L839" s="2"/>
      <c r="M839" s="2">
        <v>4</v>
      </c>
      <c r="N839" s="2" t="s">
        <v>29</v>
      </c>
    </row>
    <row r="840" spans="1:14" x14ac:dyDescent="0.3">
      <c r="A840" s="2" t="s">
        <v>1425</v>
      </c>
      <c r="B840" s="2" t="s">
        <v>1426</v>
      </c>
      <c r="C840" s="2" t="s">
        <v>64</v>
      </c>
      <c r="D840" s="2" t="s">
        <v>7</v>
      </c>
      <c r="E840" s="2" t="s">
        <v>128</v>
      </c>
      <c r="F840" s="2" t="s">
        <v>35</v>
      </c>
      <c r="G840" s="2" t="s">
        <v>28</v>
      </c>
      <c r="H840" s="2">
        <v>1934.7</v>
      </c>
      <c r="I840" s="2">
        <v>1384.05</v>
      </c>
      <c r="J840" s="2">
        <v>550.65</v>
      </c>
      <c r="K840" s="2" t="s">
        <v>21</v>
      </c>
      <c r="L840" s="2"/>
      <c r="M840" s="2">
        <v>5</v>
      </c>
      <c r="N840" s="2" t="s">
        <v>22</v>
      </c>
    </row>
    <row r="841" spans="1:14" x14ac:dyDescent="0.3">
      <c r="A841" s="2" t="s">
        <v>1427</v>
      </c>
      <c r="B841" s="2" t="s">
        <v>1428</v>
      </c>
      <c r="C841" s="2" t="s">
        <v>68</v>
      </c>
      <c r="D841" s="2" t="s">
        <v>33</v>
      </c>
      <c r="E841" s="2" t="s">
        <v>205</v>
      </c>
      <c r="F841" s="2" t="s">
        <v>1429</v>
      </c>
      <c r="G841" s="2" t="s">
        <v>28</v>
      </c>
      <c r="H841" s="2">
        <v>2304.02</v>
      </c>
      <c r="I841" s="2">
        <v>1835.46</v>
      </c>
      <c r="J841" s="2">
        <v>468.56</v>
      </c>
      <c r="K841" s="2" t="s">
        <v>21</v>
      </c>
      <c r="L841" s="2"/>
      <c r="M841" s="2">
        <v>3</v>
      </c>
      <c r="N841" s="2" t="s">
        <v>29</v>
      </c>
    </row>
    <row r="842" spans="1:14" x14ac:dyDescent="0.3">
      <c r="A842" s="2" t="s">
        <v>1430</v>
      </c>
      <c r="B842" s="2" t="s">
        <v>1431</v>
      </c>
      <c r="C842" s="2" t="s">
        <v>54</v>
      </c>
      <c r="D842" s="2" t="s">
        <v>42</v>
      </c>
      <c r="E842" s="2" t="s">
        <v>80</v>
      </c>
      <c r="F842" s="2" t="s">
        <v>40</v>
      </c>
      <c r="G842" s="2" t="s">
        <v>73</v>
      </c>
      <c r="H842" s="2">
        <v>1746.07</v>
      </c>
      <c r="I842" s="2">
        <v>1438.54</v>
      </c>
      <c r="J842" s="2">
        <v>307.52999999999997</v>
      </c>
      <c r="K842" s="2" t="s">
        <v>56</v>
      </c>
      <c r="L842" s="2">
        <v>12</v>
      </c>
      <c r="M842" s="2">
        <v>1</v>
      </c>
      <c r="N842" s="2" t="s">
        <v>22</v>
      </c>
    </row>
    <row r="843" spans="1:14" x14ac:dyDescent="0.3">
      <c r="A843" s="2" t="s">
        <v>1432</v>
      </c>
      <c r="B843" s="2" t="s">
        <v>1090</v>
      </c>
      <c r="C843" s="2" t="s">
        <v>32</v>
      </c>
      <c r="D843" s="2" t="s">
        <v>393</v>
      </c>
      <c r="E843" s="2" t="s">
        <v>490</v>
      </c>
      <c r="F843" s="2" t="s">
        <v>605</v>
      </c>
      <c r="G843" s="2" t="s">
        <v>28</v>
      </c>
      <c r="H843" s="2">
        <v>1931.23</v>
      </c>
      <c r="I843" s="2">
        <v>1247.32</v>
      </c>
      <c r="J843" s="2">
        <v>683.91</v>
      </c>
      <c r="K843" s="2" t="s">
        <v>56</v>
      </c>
      <c r="L843" s="2">
        <v>5</v>
      </c>
      <c r="M843" s="2">
        <v>1</v>
      </c>
      <c r="N843" s="2" t="s">
        <v>22</v>
      </c>
    </row>
    <row r="844" spans="1:14" x14ac:dyDescent="0.3">
      <c r="A844" s="2" t="s">
        <v>1433</v>
      </c>
      <c r="B844" s="2" t="s">
        <v>1142</v>
      </c>
      <c r="C844" s="2" t="s">
        <v>111</v>
      </c>
      <c r="D844" s="2" t="s">
        <v>7</v>
      </c>
      <c r="E844" s="2" t="s">
        <v>65</v>
      </c>
      <c r="F844" s="2" t="s">
        <v>84</v>
      </c>
      <c r="G844" s="2" t="s">
        <v>20</v>
      </c>
      <c r="H844" s="2">
        <v>547.91</v>
      </c>
      <c r="I844" s="2">
        <v>411.67</v>
      </c>
      <c r="J844" s="2">
        <v>136.24</v>
      </c>
      <c r="K844" s="2" t="s">
        <v>56</v>
      </c>
      <c r="L844" s="2">
        <v>3</v>
      </c>
      <c r="M844" s="2">
        <v>3</v>
      </c>
      <c r="N844" s="2" t="s">
        <v>22</v>
      </c>
    </row>
    <row r="845" spans="1:14" x14ac:dyDescent="0.3">
      <c r="A845" s="2" t="s">
        <v>1434</v>
      </c>
      <c r="B845" s="2" t="s">
        <v>1435</v>
      </c>
      <c r="C845" s="2" t="s">
        <v>64</v>
      </c>
      <c r="D845" s="2" t="s">
        <v>59</v>
      </c>
      <c r="E845" s="2"/>
      <c r="F845" s="2" t="s">
        <v>19</v>
      </c>
      <c r="G845" s="2" t="s">
        <v>28</v>
      </c>
      <c r="H845" s="2">
        <v>2914.53</v>
      </c>
      <c r="I845" s="2">
        <v>1997.89</v>
      </c>
      <c r="J845" s="2">
        <v>916.64</v>
      </c>
      <c r="K845" s="2" t="s">
        <v>21</v>
      </c>
      <c r="L845" s="2"/>
      <c r="M845" s="2">
        <v>1</v>
      </c>
      <c r="N845" s="2" t="s">
        <v>22</v>
      </c>
    </row>
    <row r="846" spans="1:14" x14ac:dyDescent="0.3">
      <c r="A846" s="2" t="s">
        <v>1436</v>
      </c>
      <c r="B846" s="2" t="s">
        <v>549</v>
      </c>
      <c r="C846" s="2" t="s">
        <v>64</v>
      </c>
      <c r="D846" s="2" t="s">
        <v>7</v>
      </c>
      <c r="E846" s="2" t="s">
        <v>182</v>
      </c>
      <c r="F846" s="2" t="s">
        <v>84</v>
      </c>
      <c r="G846" s="2" t="s">
        <v>44</v>
      </c>
      <c r="H846" s="2">
        <v>497.06</v>
      </c>
      <c r="I846" s="2">
        <v>336.44</v>
      </c>
      <c r="J846" s="2">
        <v>160.62</v>
      </c>
      <c r="K846" s="2" t="s">
        <v>21</v>
      </c>
      <c r="L846" s="2"/>
      <c r="M846" s="2">
        <v>3</v>
      </c>
      <c r="N846" s="2" t="s">
        <v>22</v>
      </c>
    </row>
    <row r="847" spans="1:14" x14ac:dyDescent="0.3">
      <c r="A847" s="2" t="s">
        <v>1437</v>
      </c>
      <c r="B847" s="2" t="s">
        <v>1278</v>
      </c>
      <c r="C847" s="2" t="s">
        <v>16</v>
      </c>
      <c r="D847" s="2" t="s">
        <v>59</v>
      </c>
      <c r="E847" s="2" t="s">
        <v>308</v>
      </c>
      <c r="F847" s="2" t="s">
        <v>87</v>
      </c>
      <c r="G847" s="2" t="s">
        <v>44</v>
      </c>
      <c r="H847" s="2">
        <v>1746.46</v>
      </c>
      <c r="I847" s="2">
        <v>1114.9100000000001</v>
      </c>
      <c r="J847" s="2">
        <v>631.54999999999995</v>
      </c>
      <c r="K847" s="2" t="s">
        <v>21</v>
      </c>
      <c r="L847" s="2"/>
      <c r="M847" s="2">
        <v>5</v>
      </c>
      <c r="N847" s="2" t="s">
        <v>22</v>
      </c>
    </row>
    <row r="848" spans="1:14" x14ac:dyDescent="0.3">
      <c r="A848" s="2" t="s">
        <v>1438</v>
      </c>
      <c r="B848" s="2" t="s">
        <v>671</v>
      </c>
      <c r="C848" s="2" t="s">
        <v>124</v>
      </c>
      <c r="D848" s="2" t="s">
        <v>7</v>
      </c>
      <c r="E848" s="2" t="s">
        <v>65</v>
      </c>
      <c r="F848" s="2" t="s">
        <v>40</v>
      </c>
      <c r="G848" s="2" t="s">
        <v>36</v>
      </c>
      <c r="H848" s="2">
        <v>1431.96</v>
      </c>
      <c r="I848" s="2">
        <v>1069.9100000000001</v>
      </c>
      <c r="J848" s="2">
        <v>362.05</v>
      </c>
      <c r="K848" s="2" t="s">
        <v>21</v>
      </c>
      <c r="L848" s="2"/>
      <c r="M848" s="2">
        <v>4</v>
      </c>
      <c r="N848" s="2" t="s">
        <v>22</v>
      </c>
    </row>
    <row r="849" spans="1:14" x14ac:dyDescent="0.3">
      <c r="A849" s="2" t="s">
        <v>1439</v>
      </c>
      <c r="B849" s="2" t="s">
        <v>1440</v>
      </c>
      <c r="C849" s="2" t="s">
        <v>179</v>
      </c>
      <c r="D849" s="2" t="s">
        <v>33</v>
      </c>
      <c r="E849" s="2" t="s">
        <v>105</v>
      </c>
      <c r="F849" s="2" t="s">
        <v>35</v>
      </c>
      <c r="G849" s="2" t="s">
        <v>73</v>
      </c>
      <c r="H849" s="2">
        <v>3022.15</v>
      </c>
      <c r="I849" s="2">
        <v>1849.95</v>
      </c>
      <c r="J849" s="2">
        <v>1172.2</v>
      </c>
      <c r="K849" s="2" t="s">
        <v>21</v>
      </c>
      <c r="L849" s="2"/>
      <c r="M849" s="2">
        <v>5</v>
      </c>
      <c r="N849" s="2" t="s">
        <v>22</v>
      </c>
    </row>
    <row r="850" spans="1:14" x14ac:dyDescent="0.3">
      <c r="A850" s="2" t="s">
        <v>1441</v>
      </c>
      <c r="B850" s="2" t="s">
        <v>1090</v>
      </c>
      <c r="C850" s="2" t="s">
        <v>32</v>
      </c>
      <c r="D850" s="2" t="s">
        <v>42</v>
      </c>
      <c r="E850" s="2" t="s">
        <v>43</v>
      </c>
      <c r="F850" s="2" t="s">
        <v>84</v>
      </c>
      <c r="G850" s="2" t="s">
        <v>20</v>
      </c>
      <c r="H850" s="2">
        <v>867.82</v>
      </c>
      <c r="I850" s="2">
        <v>650.91999999999996</v>
      </c>
      <c r="J850" s="2">
        <v>216.9</v>
      </c>
      <c r="K850" s="2" t="s">
        <v>21</v>
      </c>
      <c r="L850" s="2"/>
      <c r="M850" s="2">
        <v>4</v>
      </c>
      <c r="N850" s="2" t="s">
        <v>22</v>
      </c>
    </row>
    <row r="851" spans="1:14" x14ac:dyDescent="0.3">
      <c r="A851" s="2" t="s">
        <v>1442</v>
      </c>
      <c r="B851" s="2" t="s">
        <v>587</v>
      </c>
      <c r="C851" s="2" t="s">
        <v>54</v>
      </c>
      <c r="D851" s="2" t="s">
        <v>59</v>
      </c>
      <c r="E851" s="2" t="s">
        <v>60</v>
      </c>
      <c r="F851" s="2" t="s">
        <v>35</v>
      </c>
      <c r="G851" s="2" t="s">
        <v>36</v>
      </c>
      <c r="H851" s="2">
        <v>875.64</v>
      </c>
      <c r="I851" s="2">
        <v>633.27</v>
      </c>
      <c r="J851" s="2">
        <v>242.37</v>
      </c>
      <c r="K851" s="2" t="s">
        <v>338</v>
      </c>
      <c r="L851" s="2"/>
      <c r="M851" s="2">
        <v>5</v>
      </c>
      <c r="N851" s="2" t="s">
        <v>22</v>
      </c>
    </row>
    <row r="852" spans="1:14" x14ac:dyDescent="0.3">
      <c r="A852" s="2" t="s">
        <v>1443</v>
      </c>
      <c r="B852" s="2" t="s">
        <v>1444</v>
      </c>
      <c r="C852" s="2" t="s">
        <v>179</v>
      </c>
      <c r="D852" s="2" t="s">
        <v>42</v>
      </c>
      <c r="E852" s="2" t="s">
        <v>77</v>
      </c>
      <c r="F852" s="2" t="s">
        <v>27</v>
      </c>
      <c r="G852" s="2" t="s">
        <v>44</v>
      </c>
      <c r="H852" s="2">
        <v>1683.59</v>
      </c>
      <c r="I852" s="2">
        <v>1341.1</v>
      </c>
      <c r="J852" s="2">
        <v>342.49</v>
      </c>
      <c r="K852" s="2" t="s">
        <v>21</v>
      </c>
      <c r="L852" s="2"/>
      <c r="M852" s="2">
        <v>4</v>
      </c>
      <c r="N852" s="2" t="s">
        <v>22</v>
      </c>
    </row>
    <row r="853" spans="1:14" x14ac:dyDescent="0.3">
      <c r="A853" s="2" t="s">
        <v>1445</v>
      </c>
      <c r="B853" s="2" t="s">
        <v>1446</v>
      </c>
      <c r="C853" s="2" t="s">
        <v>115</v>
      </c>
      <c r="D853" s="2" t="s">
        <v>33</v>
      </c>
      <c r="E853" s="2" t="s">
        <v>34</v>
      </c>
      <c r="F853" s="2" t="s">
        <v>19</v>
      </c>
      <c r="G853" s="2" t="s">
        <v>44</v>
      </c>
      <c r="H853" s="2">
        <v>1530.17</v>
      </c>
      <c r="I853" s="2">
        <v>1052.26</v>
      </c>
      <c r="J853" s="2">
        <v>477.91</v>
      </c>
      <c r="K853" s="2" t="s">
        <v>56</v>
      </c>
      <c r="L853" s="2">
        <v>7</v>
      </c>
      <c r="M853" s="2">
        <v>1</v>
      </c>
      <c r="N853" s="2" t="s">
        <v>22</v>
      </c>
    </row>
    <row r="854" spans="1:14" x14ac:dyDescent="0.3">
      <c r="A854" s="2" t="s">
        <v>1442</v>
      </c>
      <c r="B854" s="2" t="s">
        <v>587</v>
      </c>
      <c r="C854" s="2" t="s">
        <v>54</v>
      </c>
      <c r="D854" s="2" t="s">
        <v>59</v>
      </c>
      <c r="E854" s="2" t="s">
        <v>60</v>
      </c>
      <c r="F854" s="2" t="s">
        <v>35</v>
      </c>
      <c r="G854" s="2" t="s">
        <v>36</v>
      </c>
      <c r="H854" s="2">
        <v>875.64</v>
      </c>
      <c r="I854" s="2">
        <v>633.27</v>
      </c>
      <c r="J854" s="2">
        <v>242.37</v>
      </c>
      <c r="K854" s="2" t="s">
        <v>338</v>
      </c>
      <c r="L854" s="2"/>
      <c r="M854" s="2">
        <v>5</v>
      </c>
      <c r="N854" s="2" t="s">
        <v>22</v>
      </c>
    </row>
    <row r="855" spans="1:14" x14ac:dyDescent="0.3">
      <c r="A855" s="2" t="s">
        <v>1447</v>
      </c>
      <c r="B855" s="2" t="s">
        <v>1448</v>
      </c>
      <c r="C855" s="2" t="s">
        <v>68</v>
      </c>
      <c r="D855" s="2" t="s">
        <v>17</v>
      </c>
      <c r="E855" s="2" t="s">
        <v>100</v>
      </c>
      <c r="F855" s="2" t="s">
        <v>19</v>
      </c>
      <c r="G855" s="2" t="s">
        <v>73</v>
      </c>
      <c r="H855" s="2">
        <v>1766.27</v>
      </c>
      <c r="I855" s="2">
        <v>1134.92</v>
      </c>
      <c r="J855" s="2">
        <v>631.35</v>
      </c>
      <c r="K855" s="2" t="s">
        <v>21</v>
      </c>
      <c r="L855" s="2"/>
      <c r="M855" s="2"/>
      <c r="N855" s="2" t="s">
        <v>22</v>
      </c>
    </row>
    <row r="856" spans="1:14" x14ac:dyDescent="0.3">
      <c r="A856" s="2" t="s">
        <v>1449</v>
      </c>
      <c r="B856" s="2" t="s">
        <v>1450</v>
      </c>
      <c r="C856" s="2" t="s">
        <v>16</v>
      </c>
      <c r="D856" s="2" t="s">
        <v>7</v>
      </c>
      <c r="E856" s="2" t="s">
        <v>185</v>
      </c>
      <c r="F856" s="2" t="s">
        <v>40</v>
      </c>
      <c r="G856" s="2" t="s">
        <v>44</v>
      </c>
      <c r="H856" s="2">
        <v>1611.41</v>
      </c>
      <c r="I856" s="2">
        <v>930.1</v>
      </c>
      <c r="J856" s="2">
        <v>681.31</v>
      </c>
      <c r="K856" s="2" t="s">
        <v>21</v>
      </c>
      <c r="L856" s="2"/>
      <c r="M856" s="2">
        <v>5</v>
      </c>
      <c r="N856" s="2" t="s">
        <v>22</v>
      </c>
    </row>
    <row r="857" spans="1:14" x14ac:dyDescent="0.3">
      <c r="A857" s="2" t="s">
        <v>1451</v>
      </c>
      <c r="B857" s="2" t="s">
        <v>1131</v>
      </c>
      <c r="C857" s="2" t="s">
        <v>64</v>
      </c>
      <c r="D857" s="2" t="s">
        <v>7</v>
      </c>
      <c r="E857" s="2" t="s">
        <v>55</v>
      </c>
      <c r="F857" s="2" t="s">
        <v>19</v>
      </c>
      <c r="G857" s="2" t="s">
        <v>28</v>
      </c>
      <c r="H857" s="2">
        <v>1493.9</v>
      </c>
      <c r="I857" s="2">
        <v>846.36</v>
      </c>
      <c r="J857" s="2">
        <v>647.54</v>
      </c>
      <c r="K857" s="2" t="s">
        <v>21</v>
      </c>
      <c r="L857" s="2"/>
      <c r="M857" s="2">
        <v>5</v>
      </c>
      <c r="N857" s="2" t="s">
        <v>22</v>
      </c>
    </row>
    <row r="858" spans="1:14" x14ac:dyDescent="0.3">
      <c r="A858" s="2" t="s">
        <v>1452</v>
      </c>
      <c r="B858" s="2" t="s">
        <v>840</v>
      </c>
      <c r="C858" s="2" t="s">
        <v>124</v>
      </c>
      <c r="D858" s="2" t="s">
        <v>7</v>
      </c>
      <c r="E858" s="2" t="s">
        <v>128</v>
      </c>
      <c r="F858" s="2" t="s">
        <v>1429</v>
      </c>
      <c r="G858" s="2" t="s">
        <v>73</v>
      </c>
      <c r="H858" s="2">
        <v>2953.87</v>
      </c>
      <c r="I858" s="2">
        <v>1738.19</v>
      </c>
      <c r="J858" s="2">
        <v>1215.68</v>
      </c>
      <c r="K858" s="2" t="s">
        <v>21</v>
      </c>
      <c r="L858" s="2"/>
      <c r="M858" s="2">
        <v>4</v>
      </c>
      <c r="N858" s="2" t="s">
        <v>22</v>
      </c>
    </row>
    <row r="859" spans="1:14" x14ac:dyDescent="0.3">
      <c r="A859" s="2" t="s">
        <v>1453</v>
      </c>
      <c r="B859" s="2" t="s">
        <v>1157</v>
      </c>
      <c r="C859" s="2" t="s">
        <v>32</v>
      </c>
      <c r="D859" s="2" t="s">
        <v>17</v>
      </c>
      <c r="E859" s="2" t="s">
        <v>100</v>
      </c>
      <c r="F859" s="2" t="s">
        <v>87</v>
      </c>
      <c r="G859" s="2" t="s">
        <v>73</v>
      </c>
      <c r="H859" s="2">
        <v>2161.3000000000002</v>
      </c>
      <c r="I859" s="2">
        <v>1357.3</v>
      </c>
      <c r="J859" s="2">
        <v>804</v>
      </c>
      <c r="K859" s="2" t="s">
        <v>21</v>
      </c>
      <c r="L859" s="2"/>
      <c r="M859" s="2">
        <v>5</v>
      </c>
      <c r="N859" s="2" t="s">
        <v>22</v>
      </c>
    </row>
    <row r="860" spans="1:14" x14ac:dyDescent="0.3">
      <c r="A860" s="2" t="s">
        <v>1454</v>
      </c>
      <c r="B860" s="2" t="s">
        <v>1180</v>
      </c>
      <c r="C860" s="2" t="s">
        <v>76</v>
      </c>
      <c r="D860" s="2" t="s">
        <v>7</v>
      </c>
      <c r="E860" s="2" t="s">
        <v>131</v>
      </c>
      <c r="F860" s="2" t="s">
        <v>35</v>
      </c>
      <c r="G860" s="2" t="s">
        <v>44</v>
      </c>
      <c r="H860" s="2">
        <v>2176.62</v>
      </c>
      <c r="I860" s="2">
        <v>1207.98</v>
      </c>
      <c r="J860" s="2">
        <v>968.64</v>
      </c>
      <c r="K860" s="2" t="s">
        <v>21</v>
      </c>
      <c r="L860" s="2"/>
      <c r="M860" s="2">
        <v>5</v>
      </c>
      <c r="N860" s="2" t="s">
        <v>22</v>
      </c>
    </row>
    <row r="861" spans="1:14" x14ac:dyDescent="0.3">
      <c r="A861" s="2" t="s">
        <v>1455</v>
      </c>
      <c r="B861" s="2" t="s">
        <v>662</v>
      </c>
      <c r="C861" s="2" t="s">
        <v>68</v>
      </c>
      <c r="D861" s="2" t="s">
        <v>33</v>
      </c>
      <c r="E861" s="2" t="s">
        <v>171</v>
      </c>
      <c r="F861" s="2" t="s">
        <v>84</v>
      </c>
      <c r="G861" s="2" t="s">
        <v>73</v>
      </c>
      <c r="H861" s="2">
        <v>1026.02</v>
      </c>
      <c r="I861" s="2">
        <v>759.51</v>
      </c>
      <c r="J861" s="2">
        <v>266.51</v>
      </c>
      <c r="K861" s="2" t="s">
        <v>21</v>
      </c>
      <c r="L861" s="2"/>
      <c r="M861" s="2">
        <v>5</v>
      </c>
      <c r="N861" s="2" t="s">
        <v>22</v>
      </c>
    </row>
    <row r="862" spans="1:14" x14ac:dyDescent="0.3">
      <c r="A862" s="2" t="s">
        <v>1456</v>
      </c>
      <c r="B862" s="2" t="s">
        <v>1457</v>
      </c>
      <c r="C862" s="2" t="s">
        <v>16</v>
      </c>
      <c r="D862" s="2" t="s">
        <v>42</v>
      </c>
      <c r="E862" s="2" t="s">
        <v>77</v>
      </c>
      <c r="F862" s="2" t="s">
        <v>40</v>
      </c>
      <c r="G862" s="2" t="s">
        <v>73</v>
      </c>
      <c r="H862" s="2">
        <v>1850.58</v>
      </c>
      <c r="I862" s="2">
        <v>1534.66</v>
      </c>
      <c r="J862" s="2">
        <v>315.92</v>
      </c>
      <c r="K862" s="2" t="s">
        <v>21</v>
      </c>
      <c r="L862" s="2"/>
      <c r="M862" s="2">
        <v>5</v>
      </c>
      <c r="N862" s="2" t="s">
        <v>22</v>
      </c>
    </row>
    <row r="863" spans="1:14" x14ac:dyDescent="0.3">
      <c r="A863" s="2" t="s">
        <v>1458</v>
      </c>
      <c r="B863" s="2" t="s">
        <v>864</v>
      </c>
      <c r="C863" s="2" t="s">
        <v>54</v>
      </c>
      <c r="D863" s="2" t="s">
        <v>33</v>
      </c>
      <c r="E863" s="2" t="s">
        <v>297</v>
      </c>
      <c r="F863" s="2" t="s">
        <v>27</v>
      </c>
      <c r="G863" s="2" t="s">
        <v>28</v>
      </c>
      <c r="H863" s="2">
        <v>1466.17</v>
      </c>
      <c r="I863" s="2">
        <v>886.99</v>
      </c>
      <c r="J863" s="2">
        <v>579.17999999999995</v>
      </c>
      <c r="K863" s="2" t="s">
        <v>21</v>
      </c>
      <c r="L863" s="2"/>
      <c r="M863" s="2">
        <v>3</v>
      </c>
      <c r="N863" s="2" t="s">
        <v>22</v>
      </c>
    </row>
    <row r="864" spans="1:14" x14ac:dyDescent="0.3">
      <c r="A864" s="2" t="s">
        <v>1459</v>
      </c>
      <c r="B864" s="2" t="s">
        <v>1460</v>
      </c>
      <c r="C864" s="2" t="s">
        <v>104</v>
      </c>
      <c r="D864" s="2" t="s">
        <v>7</v>
      </c>
      <c r="E864" s="2" t="s">
        <v>182</v>
      </c>
      <c r="F864" s="2" t="s">
        <v>19</v>
      </c>
      <c r="G864" s="2" t="s">
        <v>20</v>
      </c>
      <c r="H864" s="2">
        <v>2862.53</v>
      </c>
      <c r="I864" s="2">
        <v>2116.65</v>
      </c>
      <c r="J864" s="2">
        <v>745.88</v>
      </c>
      <c r="K864" s="2" t="s">
        <v>21</v>
      </c>
      <c r="L864" s="2"/>
      <c r="M864" s="2">
        <v>1</v>
      </c>
      <c r="N864" s="2" t="s">
        <v>22</v>
      </c>
    </row>
    <row r="865" spans="1:14" x14ac:dyDescent="0.3">
      <c r="A865" s="2" t="s">
        <v>1461</v>
      </c>
      <c r="B865" s="2" t="s">
        <v>669</v>
      </c>
      <c r="C865" s="2" t="s">
        <v>16</v>
      </c>
      <c r="D865" s="2" t="s">
        <v>7</v>
      </c>
      <c r="E865" s="2" t="s">
        <v>65</v>
      </c>
      <c r="F865" s="2" t="s">
        <v>27</v>
      </c>
      <c r="G865" s="2" t="s">
        <v>36</v>
      </c>
      <c r="H865" s="2">
        <v>1747.3</v>
      </c>
      <c r="I865" s="2">
        <v>1018.98</v>
      </c>
      <c r="J865" s="2">
        <v>728.32</v>
      </c>
      <c r="K865" s="2" t="s">
        <v>21</v>
      </c>
      <c r="L865" s="2"/>
      <c r="M865" s="2">
        <v>1</v>
      </c>
      <c r="N865" s="2" t="s">
        <v>22</v>
      </c>
    </row>
    <row r="866" spans="1:14" x14ac:dyDescent="0.3">
      <c r="A866" s="2" t="s">
        <v>1462</v>
      </c>
      <c r="B866" s="2" t="s">
        <v>1331</v>
      </c>
      <c r="C866" s="2" t="s">
        <v>68</v>
      </c>
      <c r="D866" s="2" t="s">
        <v>33</v>
      </c>
      <c r="E866" s="2" t="s">
        <v>93</v>
      </c>
      <c r="F866" s="2" t="s">
        <v>40</v>
      </c>
      <c r="G866" s="2" t="s">
        <v>28</v>
      </c>
      <c r="H866" s="2">
        <v>1643.81</v>
      </c>
      <c r="I866" s="2">
        <v>969.5</v>
      </c>
      <c r="J866" s="2">
        <v>674.31</v>
      </c>
      <c r="K866" s="2" t="s">
        <v>21</v>
      </c>
      <c r="L866" s="2"/>
      <c r="M866" s="2">
        <v>5</v>
      </c>
      <c r="N866" s="2" t="s">
        <v>29</v>
      </c>
    </row>
    <row r="867" spans="1:14" x14ac:dyDescent="0.3">
      <c r="A867" s="2" t="s">
        <v>1463</v>
      </c>
      <c r="B867" s="2" t="s">
        <v>390</v>
      </c>
      <c r="C867" s="2" t="s">
        <v>111</v>
      </c>
      <c r="D867" s="2" t="s">
        <v>59</v>
      </c>
      <c r="E867" s="2" t="s">
        <v>194</v>
      </c>
      <c r="F867" s="2" t="s">
        <v>40</v>
      </c>
      <c r="G867" s="2" t="s">
        <v>44</v>
      </c>
      <c r="H867" s="2">
        <v>1639.49</v>
      </c>
      <c r="I867" s="2">
        <v>1001.38</v>
      </c>
      <c r="J867" s="2">
        <v>638.11</v>
      </c>
      <c r="K867" s="2" t="s">
        <v>56</v>
      </c>
      <c r="L867" s="2">
        <v>7</v>
      </c>
      <c r="M867" s="2">
        <v>3</v>
      </c>
      <c r="N867" s="2" t="s">
        <v>22</v>
      </c>
    </row>
    <row r="868" spans="1:14" x14ac:dyDescent="0.3">
      <c r="A868" s="2" t="s">
        <v>300</v>
      </c>
      <c r="B868" s="2" t="s">
        <v>82</v>
      </c>
      <c r="C868" s="2" t="s">
        <v>54</v>
      </c>
      <c r="D868" s="2" t="s">
        <v>59</v>
      </c>
      <c r="E868" s="2" t="s">
        <v>301</v>
      </c>
      <c r="F868" s="2" t="s">
        <v>27</v>
      </c>
      <c r="G868" s="2" t="s">
        <v>20</v>
      </c>
      <c r="H868" s="2">
        <v>2113.16</v>
      </c>
      <c r="I868" s="2">
        <v>1340.04</v>
      </c>
      <c r="J868" s="2">
        <v>773.12</v>
      </c>
      <c r="K868" s="2" t="s">
        <v>56</v>
      </c>
      <c r="L868" s="2">
        <v>7</v>
      </c>
      <c r="M868" s="2">
        <v>4</v>
      </c>
      <c r="N868" s="2" t="s">
        <v>22</v>
      </c>
    </row>
    <row r="869" spans="1:14" x14ac:dyDescent="0.3">
      <c r="A869" s="2" t="s">
        <v>1464</v>
      </c>
      <c r="B869" s="2" t="s">
        <v>431</v>
      </c>
      <c r="C869" s="2" t="s">
        <v>64</v>
      </c>
      <c r="D869" s="2" t="s">
        <v>7</v>
      </c>
      <c r="E869" s="2" t="s">
        <v>131</v>
      </c>
      <c r="F869" s="2" t="s">
        <v>19</v>
      </c>
      <c r="G869" s="2" t="s">
        <v>28</v>
      </c>
      <c r="H869" s="2">
        <v>1298.1400000000001</v>
      </c>
      <c r="I869" s="2">
        <v>780.77</v>
      </c>
      <c r="J869" s="2">
        <v>517.37</v>
      </c>
      <c r="K869" s="2" t="s">
        <v>21</v>
      </c>
      <c r="L869" s="2"/>
      <c r="M869" s="2">
        <v>4</v>
      </c>
      <c r="N869" s="2" t="s">
        <v>22</v>
      </c>
    </row>
    <row r="870" spans="1:14" x14ac:dyDescent="0.3">
      <c r="A870" s="2" t="s">
        <v>1465</v>
      </c>
      <c r="B870" s="2" t="s">
        <v>685</v>
      </c>
      <c r="C870" s="2" t="s">
        <v>32</v>
      </c>
      <c r="D870" s="2" t="s">
        <v>17</v>
      </c>
      <c r="E870" s="2" t="s">
        <v>51</v>
      </c>
      <c r="F870" s="2" t="s">
        <v>87</v>
      </c>
      <c r="G870" s="2" t="s">
        <v>73</v>
      </c>
      <c r="H870" s="2">
        <v>2290.66</v>
      </c>
      <c r="I870" s="2">
        <v>1434.32</v>
      </c>
      <c r="J870" s="2">
        <v>856.34</v>
      </c>
      <c r="K870" s="2" t="s">
        <v>56</v>
      </c>
      <c r="L870" s="2">
        <v>1</v>
      </c>
      <c r="M870" s="2">
        <v>4</v>
      </c>
      <c r="N870" s="2" t="s">
        <v>22</v>
      </c>
    </row>
    <row r="871" spans="1:14" x14ac:dyDescent="0.3">
      <c r="A871" s="2" t="s">
        <v>1466</v>
      </c>
      <c r="B871" s="2" t="s">
        <v>1467</v>
      </c>
      <c r="C871" s="2" t="s">
        <v>68</v>
      </c>
      <c r="D871" s="2" t="s">
        <v>7</v>
      </c>
      <c r="E871" s="2" t="s">
        <v>69</v>
      </c>
      <c r="F871" s="2" t="s">
        <v>84</v>
      </c>
      <c r="G871" s="2" t="s">
        <v>44</v>
      </c>
      <c r="H871" s="2">
        <v>3298.72</v>
      </c>
      <c r="I871" s="2">
        <v>1827.77</v>
      </c>
      <c r="J871" s="2">
        <v>1470.95</v>
      </c>
      <c r="K871" s="2" t="s">
        <v>21</v>
      </c>
      <c r="L871" s="2"/>
      <c r="M871" s="2">
        <v>4</v>
      </c>
      <c r="N871" s="2" t="s">
        <v>22</v>
      </c>
    </row>
    <row r="872" spans="1:14" x14ac:dyDescent="0.3">
      <c r="A872" s="2" t="s">
        <v>1468</v>
      </c>
      <c r="B872" s="2" t="s">
        <v>667</v>
      </c>
      <c r="C872" s="2" t="s">
        <v>104</v>
      </c>
      <c r="D872" s="2" t="s">
        <v>17</v>
      </c>
      <c r="E872" s="2" t="s">
        <v>26</v>
      </c>
      <c r="F872" s="2" t="s">
        <v>87</v>
      </c>
      <c r="G872" s="2" t="s">
        <v>44</v>
      </c>
      <c r="H872" s="2">
        <v>1095.92</v>
      </c>
      <c r="I872" s="2">
        <v>855.66</v>
      </c>
      <c r="J872" s="2">
        <v>240.26</v>
      </c>
      <c r="K872" s="2" t="s">
        <v>56</v>
      </c>
      <c r="L872" s="2">
        <v>1</v>
      </c>
      <c r="M872" s="2">
        <v>4</v>
      </c>
      <c r="N872" s="2" t="s">
        <v>22</v>
      </c>
    </row>
    <row r="873" spans="1:14" x14ac:dyDescent="0.3">
      <c r="A873" s="2" t="s">
        <v>1469</v>
      </c>
      <c r="B873" s="2" t="s">
        <v>1470</v>
      </c>
      <c r="C873" s="2" t="s">
        <v>32</v>
      </c>
      <c r="D873" s="2" t="s">
        <v>7</v>
      </c>
      <c r="E873" s="2" t="s">
        <v>134</v>
      </c>
      <c r="F873" s="2" t="s">
        <v>19</v>
      </c>
      <c r="G873" s="2" t="s">
        <v>44</v>
      </c>
      <c r="H873" s="2">
        <v>2091.79</v>
      </c>
      <c r="I873" s="2">
        <v>1464.1</v>
      </c>
      <c r="J873" s="2">
        <v>627.69000000000005</v>
      </c>
      <c r="K873" s="2" t="s">
        <v>21</v>
      </c>
      <c r="L873" s="2"/>
      <c r="M873" s="2">
        <v>5</v>
      </c>
      <c r="N873" s="2" t="s">
        <v>22</v>
      </c>
    </row>
    <row r="874" spans="1:14" x14ac:dyDescent="0.3">
      <c r="A874" s="2" t="s">
        <v>1471</v>
      </c>
      <c r="B874" s="2" t="s">
        <v>149</v>
      </c>
      <c r="C874" s="2" t="s">
        <v>76</v>
      </c>
      <c r="D874" s="2" t="s">
        <v>33</v>
      </c>
      <c r="E874" s="2" t="s">
        <v>105</v>
      </c>
      <c r="F874" s="2" t="s">
        <v>315</v>
      </c>
      <c r="G874" s="2" t="s">
        <v>36</v>
      </c>
      <c r="H874" s="2">
        <v>1170.21</v>
      </c>
      <c r="I874" s="2">
        <v>823.35</v>
      </c>
      <c r="J874" s="2">
        <v>346.86</v>
      </c>
      <c r="K874" s="2" t="s">
        <v>21</v>
      </c>
      <c r="L874" s="2"/>
      <c r="M874" s="2">
        <v>4</v>
      </c>
      <c r="N874" s="2" t="s">
        <v>22</v>
      </c>
    </row>
    <row r="875" spans="1:14" x14ac:dyDescent="0.3">
      <c r="A875" s="2" t="s">
        <v>1472</v>
      </c>
      <c r="B875" s="2" t="s">
        <v>882</v>
      </c>
      <c r="C875" s="2" t="s">
        <v>32</v>
      </c>
      <c r="D875" s="2" t="s">
        <v>42</v>
      </c>
      <c r="E875" s="2" t="s">
        <v>162</v>
      </c>
      <c r="F875" s="2" t="s">
        <v>19</v>
      </c>
      <c r="G875" s="2" t="s">
        <v>44</v>
      </c>
      <c r="H875" s="2">
        <v>182.9</v>
      </c>
      <c r="I875" s="2">
        <v>144.78</v>
      </c>
      <c r="J875" s="2">
        <v>38.119999999999997</v>
      </c>
      <c r="K875" s="2" t="s">
        <v>21</v>
      </c>
      <c r="L875" s="2"/>
      <c r="M875" s="2">
        <v>1</v>
      </c>
      <c r="N875" s="2" t="s">
        <v>22</v>
      </c>
    </row>
    <row r="876" spans="1:14" x14ac:dyDescent="0.3">
      <c r="A876" s="2" t="s">
        <v>1473</v>
      </c>
      <c r="B876" s="2" t="s">
        <v>1474</v>
      </c>
      <c r="C876" s="2" t="s">
        <v>115</v>
      </c>
      <c r="D876" s="2" t="s">
        <v>7</v>
      </c>
      <c r="E876" s="2" t="s">
        <v>65</v>
      </c>
      <c r="F876" s="2" t="s">
        <v>84</v>
      </c>
      <c r="G876" s="2" t="s">
        <v>36</v>
      </c>
      <c r="H876" s="2">
        <v>3234.2</v>
      </c>
      <c r="I876" s="2">
        <v>2563.34</v>
      </c>
      <c r="J876" s="2">
        <v>670.86</v>
      </c>
      <c r="K876" s="2" t="s">
        <v>21</v>
      </c>
      <c r="L876" s="2"/>
      <c r="M876" s="2">
        <v>5</v>
      </c>
      <c r="N876" s="2" t="s">
        <v>22</v>
      </c>
    </row>
    <row r="877" spans="1:14" x14ac:dyDescent="0.3">
      <c r="A877" s="2" t="s">
        <v>1475</v>
      </c>
      <c r="B877" s="2" t="s">
        <v>1226</v>
      </c>
      <c r="C877" s="2" t="s">
        <v>25</v>
      </c>
      <c r="D877" s="2" t="s">
        <v>59</v>
      </c>
      <c r="E877" s="2" t="s">
        <v>108</v>
      </c>
      <c r="F877" s="2" t="s">
        <v>35</v>
      </c>
      <c r="G877" s="2" t="s">
        <v>44</v>
      </c>
      <c r="H877" s="2">
        <v>3243.9</v>
      </c>
      <c r="I877" s="2">
        <v>2044.6</v>
      </c>
      <c r="J877" s="2">
        <v>1199.3</v>
      </c>
      <c r="K877" s="2" t="s">
        <v>21</v>
      </c>
      <c r="L877" s="2"/>
      <c r="M877" s="2"/>
      <c r="N877" s="2" t="s">
        <v>22</v>
      </c>
    </row>
    <row r="878" spans="1:14" x14ac:dyDescent="0.3">
      <c r="A878" s="2" t="s">
        <v>1476</v>
      </c>
      <c r="B878" s="2" t="s">
        <v>1477</v>
      </c>
      <c r="C878" s="2" t="s">
        <v>76</v>
      </c>
      <c r="D878" s="2" t="s">
        <v>7</v>
      </c>
      <c r="E878" s="2" t="s">
        <v>69</v>
      </c>
      <c r="F878" s="2" t="s">
        <v>40</v>
      </c>
      <c r="G878" s="2" t="s">
        <v>36</v>
      </c>
      <c r="H878" s="2">
        <v>1489.61</v>
      </c>
      <c r="I878" s="2">
        <v>941.1</v>
      </c>
      <c r="J878" s="2">
        <v>548.51</v>
      </c>
      <c r="K878" s="2" t="s">
        <v>21</v>
      </c>
      <c r="L878" s="2"/>
      <c r="M878" s="2">
        <v>4</v>
      </c>
      <c r="N878" s="2" t="s">
        <v>22</v>
      </c>
    </row>
    <row r="879" spans="1:14" x14ac:dyDescent="0.3">
      <c r="A879" s="2" t="s">
        <v>1478</v>
      </c>
      <c r="B879" s="2" t="s">
        <v>427</v>
      </c>
      <c r="C879" s="2" t="s">
        <v>124</v>
      </c>
      <c r="D879" s="2" t="s">
        <v>59</v>
      </c>
      <c r="E879" s="2" t="s">
        <v>301</v>
      </c>
      <c r="F879" s="2" t="s">
        <v>35</v>
      </c>
      <c r="G879" s="2" t="s">
        <v>73</v>
      </c>
      <c r="H879" s="2">
        <v>3166.93</v>
      </c>
      <c r="I879" s="2">
        <v>2064.0500000000002</v>
      </c>
      <c r="J879" s="2">
        <v>1102.8800000000001</v>
      </c>
      <c r="K879" s="2" t="s">
        <v>21</v>
      </c>
      <c r="L879" s="2"/>
      <c r="M879" s="2">
        <v>4</v>
      </c>
      <c r="N879" s="2" t="s">
        <v>22</v>
      </c>
    </row>
    <row r="880" spans="1:14" x14ac:dyDescent="0.3">
      <c r="A880" s="2" t="s">
        <v>1479</v>
      </c>
      <c r="B880" s="2" t="s">
        <v>1480</v>
      </c>
      <c r="C880" s="2" t="s">
        <v>54</v>
      </c>
      <c r="D880" s="2" t="s">
        <v>42</v>
      </c>
      <c r="E880" s="2" t="s">
        <v>43</v>
      </c>
      <c r="F880" s="2" t="s">
        <v>27</v>
      </c>
      <c r="G880" s="2" t="s">
        <v>36</v>
      </c>
      <c r="H880" s="2">
        <v>4715.57</v>
      </c>
      <c r="I880" s="2">
        <v>4182.4399999999996</v>
      </c>
      <c r="J880" s="2">
        <v>533.13</v>
      </c>
      <c r="K880" s="2" t="s">
        <v>21</v>
      </c>
      <c r="L880" s="2"/>
      <c r="M880" s="2">
        <v>4</v>
      </c>
      <c r="N880" s="2" t="s">
        <v>22</v>
      </c>
    </row>
    <row r="881" spans="1:14" x14ac:dyDescent="0.3">
      <c r="A881" s="2" t="s">
        <v>1481</v>
      </c>
      <c r="B881" s="2" t="s">
        <v>780</v>
      </c>
      <c r="C881" s="2" t="s">
        <v>25</v>
      </c>
      <c r="D881" s="2" t="s">
        <v>17</v>
      </c>
      <c r="E881" s="2" t="s">
        <v>226</v>
      </c>
      <c r="F881" s="2" t="s">
        <v>35</v>
      </c>
      <c r="G881" s="2" t="s">
        <v>36</v>
      </c>
      <c r="H881" s="2">
        <v>3246.11</v>
      </c>
      <c r="I881" s="2">
        <v>1974.84</v>
      </c>
      <c r="J881" s="2">
        <v>1271.27</v>
      </c>
      <c r="K881" s="2" t="s">
        <v>56</v>
      </c>
      <c r="L881" s="2">
        <v>3</v>
      </c>
      <c r="M881" s="2">
        <v>3</v>
      </c>
      <c r="N881" s="2" t="s">
        <v>22</v>
      </c>
    </row>
    <row r="882" spans="1:14" x14ac:dyDescent="0.3">
      <c r="A882" s="2" t="s">
        <v>1482</v>
      </c>
      <c r="B882" s="2" t="s">
        <v>1142</v>
      </c>
      <c r="C882" s="2" t="s">
        <v>111</v>
      </c>
      <c r="D882" s="2" t="s">
        <v>7</v>
      </c>
      <c r="E882" s="2" t="s">
        <v>55</v>
      </c>
      <c r="F882" s="2" t="s">
        <v>87</v>
      </c>
      <c r="G882" s="2" t="s">
        <v>20</v>
      </c>
      <c r="H882" s="2">
        <v>2700.53</v>
      </c>
      <c r="I882" s="2">
        <v>1820.61</v>
      </c>
      <c r="J882" s="2">
        <v>879.92</v>
      </c>
      <c r="K882" s="2" t="s">
        <v>21</v>
      </c>
      <c r="L882" s="2"/>
      <c r="M882" s="2">
        <v>5</v>
      </c>
      <c r="N882" s="2" t="s">
        <v>22</v>
      </c>
    </row>
    <row r="883" spans="1:14" x14ac:dyDescent="0.3">
      <c r="A883" s="2" t="s">
        <v>1483</v>
      </c>
      <c r="B883" s="2" t="s">
        <v>1484</v>
      </c>
      <c r="C883" s="2" t="s">
        <v>124</v>
      </c>
      <c r="D883" s="2" t="s">
        <v>42</v>
      </c>
      <c r="E883" s="2" t="s">
        <v>77</v>
      </c>
      <c r="F883" s="2" t="s">
        <v>35</v>
      </c>
      <c r="G883" s="2" t="s">
        <v>36</v>
      </c>
      <c r="H883" s="2">
        <v>2991.05</v>
      </c>
      <c r="I883" s="2">
        <v>2210.35</v>
      </c>
      <c r="J883" s="2">
        <v>780.7</v>
      </c>
      <c r="K883" s="2" t="s">
        <v>56</v>
      </c>
      <c r="L883" s="2">
        <v>14</v>
      </c>
      <c r="M883" s="2">
        <v>4</v>
      </c>
      <c r="N883" s="2" t="s">
        <v>22</v>
      </c>
    </row>
    <row r="884" spans="1:14" x14ac:dyDescent="0.3">
      <c r="A884" s="2" t="s">
        <v>1485</v>
      </c>
      <c r="B884" s="2" t="s">
        <v>581</v>
      </c>
      <c r="C884" s="2" t="s">
        <v>124</v>
      </c>
      <c r="D884" s="2" t="s">
        <v>17</v>
      </c>
      <c r="E884" s="2" t="s">
        <v>51</v>
      </c>
      <c r="F884" s="2" t="s">
        <v>40</v>
      </c>
      <c r="G884" s="2" t="s">
        <v>44</v>
      </c>
      <c r="H884" s="2">
        <v>1492.79</v>
      </c>
      <c r="I884" s="2">
        <v>856.63</v>
      </c>
      <c r="J884" s="2">
        <v>636.16</v>
      </c>
      <c r="K884" s="2" t="s">
        <v>21</v>
      </c>
      <c r="L884" s="2"/>
      <c r="M884" s="2">
        <v>1</v>
      </c>
      <c r="N884" s="2" t="s">
        <v>22</v>
      </c>
    </row>
    <row r="885" spans="1:14" x14ac:dyDescent="0.3">
      <c r="A885" s="2" t="s">
        <v>859</v>
      </c>
      <c r="B885" s="2" t="s">
        <v>860</v>
      </c>
      <c r="C885" s="2" t="s">
        <v>16</v>
      </c>
      <c r="D885" s="2" t="s">
        <v>59</v>
      </c>
      <c r="E885" s="2" t="s">
        <v>301</v>
      </c>
      <c r="F885" s="2" t="s">
        <v>40</v>
      </c>
      <c r="G885" s="2" t="s">
        <v>73</v>
      </c>
      <c r="H885" s="2">
        <v>914.17</v>
      </c>
      <c r="I885" s="2">
        <v>541.77</v>
      </c>
      <c r="J885" s="2">
        <v>372.4</v>
      </c>
      <c r="K885" s="2" t="s">
        <v>21</v>
      </c>
      <c r="L885" s="2"/>
      <c r="M885" s="2">
        <v>4</v>
      </c>
      <c r="N885" s="2" t="s">
        <v>22</v>
      </c>
    </row>
    <row r="886" spans="1:14" x14ac:dyDescent="0.3">
      <c r="A886" s="2" t="s">
        <v>1486</v>
      </c>
      <c r="B886" s="2" t="s">
        <v>460</v>
      </c>
      <c r="C886" s="2" t="s">
        <v>16</v>
      </c>
      <c r="D886" s="2" t="s">
        <v>33</v>
      </c>
      <c r="E886" s="2" t="s">
        <v>105</v>
      </c>
      <c r="F886" s="2" t="s">
        <v>27</v>
      </c>
      <c r="G886" s="2" t="s">
        <v>36</v>
      </c>
      <c r="H886" s="2">
        <v>2552.62</v>
      </c>
      <c r="I886" s="2">
        <v>1794.52</v>
      </c>
      <c r="J886" s="2">
        <v>758.1</v>
      </c>
      <c r="K886" s="2" t="s">
        <v>21</v>
      </c>
      <c r="L886" s="2"/>
      <c r="M886" s="2">
        <v>4</v>
      </c>
      <c r="N886" s="2" t="s">
        <v>29</v>
      </c>
    </row>
    <row r="887" spans="1:14" x14ac:dyDescent="0.3">
      <c r="A887" s="2" t="s">
        <v>1487</v>
      </c>
      <c r="B887" s="2" t="s">
        <v>579</v>
      </c>
      <c r="C887" s="2" t="s">
        <v>104</v>
      </c>
      <c r="D887" s="2" t="s">
        <v>375</v>
      </c>
      <c r="E887" s="2" t="s">
        <v>83</v>
      </c>
      <c r="F887" s="2" t="s">
        <v>19</v>
      </c>
      <c r="G887" s="2" t="s">
        <v>20</v>
      </c>
      <c r="H887" s="2">
        <v>1957.77</v>
      </c>
      <c r="I887" s="2">
        <v>1649.99</v>
      </c>
      <c r="J887" s="2">
        <v>307.77999999999997</v>
      </c>
      <c r="K887" s="2" t="s">
        <v>21</v>
      </c>
      <c r="L887" s="2"/>
      <c r="M887" s="2">
        <v>4</v>
      </c>
      <c r="N887" s="2" t="s">
        <v>22</v>
      </c>
    </row>
    <row r="888" spans="1:14" x14ac:dyDescent="0.3">
      <c r="A888" s="2" t="s">
        <v>1488</v>
      </c>
      <c r="B888" s="2" t="s">
        <v>1489</v>
      </c>
      <c r="C888" s="2" t="s">
        <v>16</v>
      </c>
      <c r="D888" s="2" t="s">
        <v>33</v>
      </c>
      <c r="E888" s="2" t="s">
        <v>34</v>
      </c>
      <c r="F888" s="2" t="s">
        <v>27</v>
      </c>
      <c r="G888" s="2" t="s">
        <v>28</v>
      </c>
      <c r="H888" s="2">
        <v>694.9</v>
      </c>
      <c r="I888" s="2">
        <v>395</v>
      </c>
      <c r="J888" s="2">
        <v>299.89999999999998</v>
      </c>
      <c r="K888" s="2" t="s">
        <v>21</v>
      </c>
      <c r="L888" s="2"/>
      <c r="M888" s="2">
        <v>5</v>
      </c>
      <c r="N888" s="2" t="s">
        <v>29</v>
      </c>
    </row>
    <row r="889" spans="1:14" x14ac:dyDescent="0.3">
      <c r="A889" s="2" t="s">
        <v>1490</v>
      </c>
      <c r="B889" s="2" t="s">
        <v>727</v>
      </c>
      <c r="C889" s="2" t="s">
        <v>68</v>
      </c>
      <c r="D889" s="2" t="s">
        <v>7</v>
      </c>
      <c r="E889" s="2" t="s">
        <v>185</v>
      </c>
      <c r="F889" s="2" t="s">
        <v>40</v>
      </c>
      <c r="G889" s="2" t="s">
        <v>28</v>
      </c>
      <c r="H889" s="2">
        <v>418.53</v>
      </c>
      <c r="I889" s="2">
        <v>309.73</v>
      </c>
      <c r="J889" s="2">
        <v>108.8</v>
      </c>
      <c r="K889" s="2" t="s">
        <v>56</v>
      </c>
      <c r="L889" s="2">
        <v>6</v>
      </c>
      <c r="M889" s="2">
        <v>1</v>
      </c>
      <c r="N889" s="2" t="s">
        <v>22</v>
      </c>
    </row>
    <row r="890" spans="1:14" x14ac:dyDescent="0.3">
      <c r="A890" s="2" t="s">
        <v>1491</v>
      </c>
      <c r="B890" s="2" t="s">
        <v>1090</v>
      </c>
      <c r="C890" s="2" t="s">
        <v>32</v>
      </c>
      <c r="D890" s="2" t="s">
        <v>42</v>
      </c>
      <c r="E890" s="2" t="s">
        <v>262</v>
      </c>
      <c r="F890" s="2" t="s">
        <v>27</v>
      </c>
      <c r="G890" s="2" t="s">
        <v>36</v>
      </c>
      <c r="H890" s="2">
        <v>990.9</v>
      </c>
      <c r="I890" s="2">
        <v>755.84</v>
      </c>
      <c r="J890" s="2">
        <v>235.06</v>
      </c>
      <c r="K890" s="2" t="s">
        <v>21</v>
      </c>
      <c r="L890" s="2"/>
      <c r="M890" s="2">
        <v>5</v>
      </c>
      <c r="N890" s="2" t="s">
        <v>22</v>
      </c>
    </row>
    <row r="891" spans="1:14" x14ac:dyDescent="0.3">
      <c r="A891" s="2" t="s">
        <v>1492</v>
      </c>
      <c r="B891" s="2" t="s">
        <v>896</v>
      </c>
      <c r="C891" s="2" t="s">
        <v>76</v>
      </c>
      <c r="D891" s="2" t="s">
        <v>33</v>
      </c>
      <c r="E891" s="2" t="s">
        <v>105</v>
      </c>
      <c r="F891" s="2" t="s">
        <v>35</v>
      </c>
      <c r="G891" s="2" t="s">
        <v>36</v>
      </c>
      <c r="H891" s="2">
        <v>244.06</v>
      </c>
      <c r="I891" s="2">
        <v>175.43</v>
      </c>
      <c r="J891" s="2">
        <v>68.63</v>
      </c>
      <c r="K891" s="2" t="s">
        <v>56</v>
      </c>
      <c r="L891" s="2">
        <v>3</v>
      </c>
      <c r="M891" s="2">
        <v>1</v>
      </c>
      <c r="N891" s="2" t="s">
        <v>22</v>
      </c>
    </row>
    <row r="892" spans="1:14" x14ac:dyDescent="0.3">
      <c r="A892" s="2" t="s">
        <v>1493</v>
      </c>
      <c r="B892" s="2" t="s">
        <v>1494</v>
      </c>
      <c r="C892" s="2" t="s">
        <v>76</v>
      </c>
      <c r="D892" s="2" t="s">
        <v>33</v>
      </c>
      <c r="E892" s="2" t="s">
        <v>297</v>
      </c>
      <c r="F892" s="2" t="s">
        <v>35</v>
      </c>
      <c r="G892" s="2" t="s">
        <v>44</v>
      </c>
      <c r="H892" s="2">
        <v>1375.49</v>
      </c>
      <c r="I892" s="2">
        <v>833.31</v>
      </c>
      <c r="J892" s="2">
        <v>542.17999999999995</v>
      </c>
      <c r="K892" s="2" t="s">
        <v>56</v>
      </c>
      <c r="L892" s="2">
        <v>6</v>
      </c>
      <c r="M892" s="2">
        <v>2</v>
      </c>
      <c r="N892" s="2" t="s">
        <v>29</v>
      </c>
    </row>
    <row r="893" spans="1:14" x14ac:dyDescent="0.3">
      <c r="A893" s="2" t="s">
        <v>1495</v>
      </c>
      <c r="B893" s="2" t="s">
        <v>1095</v>
      </c>
      <c r="C893" s="2" t="s">
        <v>25</v>
      </c>
      <c r="D893" s="2" t="s">
        <v>42</v>
      </c>
      <c r="E893" s="2" t="s">
        <v>214</v>
      </c>
      <c r="F893" s="2" t="s">
        <v>19</v>
      </c>
      <c r="G893" s="2" t="s">
        <v>44</v>
      </c>
      <c r="H893" s="2">
        <v>454.11</v>
      </c>
      <c r="I893" s="2">
        <v>402.38</v>
      </c>
      <c r="J893" s="2">
        <v>51.73</v>
      </c>
      <c r="K893" s="2" t="s">
        <v>21</v>
      </c>
      <c r="L893" s="2"/>
      <c r="M893" s="2">
        <v>3</v>
      </c>
      <c r="N893" s="2" t="s">
        <v>22</v>
      </c>
    </row>
    <row r="894" spans="1:14" x14ac:dyDescent="0.3">
      <c r="A894" s="2" t="s">
        <v>1496</v>
      </c>
      <c r="B894" s="2" t="s">
        <v>1497</v>
      </c>
      <c r="C894" s="2" t="s">
        <v>76</v>
      </c>
      <c r="D894" s="2" t="s">
        <v>17</v>
      </c>
      <c r="E894" s="2" t="s">
        <v>72</v>
      </c>
      <c r="F894" s="2" t="s">
        <v>87</v>
      </c>
      <c r="G894" s="2" t="s">
        <v>176</v>
      </c>
      <c r="H894" s="2">
        <v>2137.9899999999998</v>
      </c>
      <c r="I894" s="2">
        <v>1536.81</v>
      </c>
      <c r="J894" s="2">
        <v>601.17999999999995</v>
      </c>
      <c r="K894" s="2" t="s">
        <v>21</v>
      </c>
      <c r="L894" s="2"/>
      <c r="M894" s="2">
        <v>4</v>
      </c>
      <c r="N894" s="2" t="s">
        <v>22</v>
      </c>
    </row>
    <row r="895" spans="1:14" x14ac:dyDescent="0.3">
      <c r="A895" s="2" t="s">
        <v>1498</v>
      </c>
      <c r="B895" s="2" t="s">
        <v>1499</v>
      </c>
      <c r="C895" s="2" t="s">
        <v>68</v>
      </c>
      <c r="D895" s="2" t="s">
        <v>7</v>
      </c>
      <c r="E895" s="2" t="s">
        <v>134</v>
      </c>
      <c r="F895" s="2" t="s">
        <v>84</v>
      </c>
      <c r="G895" s="2" t="s">
        <v>36</v>
      </c>
      <c r="H895" s="2">
        <v>1753.55</v>
      </c>
      <c r="I895" s="2">
        <v>1342.94</v>
      </c>
      <c r="J895" s="2">
        <v>410.61</v>
      </c>
      <c r="K895" s="2" t="s">
        <v>21</v>
      </c>
      <c r="L895" s="2"/>
      <c r="M895" s="2">
        <v>4</v>
      </c>
      <c r="N895" s="2" t="s">
        <v>22</v>
      </c>
    </row>
    <row r="896" spans="1:14" x14ac:dyDescent="0.3">
      <c r="A896" s="2" t="s">
        <v>1500</v>
      </c>
      <c r="B896" s="2" t="s">
        <v>46</v>
      </c>
      <c r="C896" s="2" t="s">
        <v>16</v>
      </c>
      <c r="D896" s="2" t="s">
        <v>7</v>
      </c>
      <c r="E896" s="2" t="s">
        <v>185</v>
      </c>
      <c r="F896" s="2" t="s">
        <v>87</v>
      </c>
      <c r="G896" s="2" t="s">
        <v>44</v>
      </c>
      <c r="H896" s="2">
        <v>2794.97</v>
      </c>
      <c r="I896" s="2">
        <v>2164.04</v>
      </c>
      <c r="J896" s="2">
        <v>630.92999999999995</v>
      </c>
      <c r="K896" s="2" t="s">
        <v>56</v>
      </c>
      <c r="L896" s="2">
        <v>2</v>
      </c>
      <c r="M896" s="2">
        <v>4</v>
      </c>
      <c r="N896" s="2" t="s">
        <v>22</v>
      </c>
    </row>
    <row r="897" spans="1:14" x14ac:dyDescent="0.3">
      <c r="A897" s="2" t="s">
        <v>1501</v>
      </c>
      <c r="B897" s="2" t="s">
        <v>509</v>
      </c>
      <c r="C897" s="2" t="s">
        <v>124</v>
      </c>
      <c r="D897" s="2" t="s">
        <v>59</v>
      </c>
      <c r="E897" s="2" t="s">
        <v>108</v>
      </c>
      <c r="F897" s="2" t="s">
        <v>84</v>
      </c>
      <c r="G897" s="2" t="s">
        <v>36</v>
      </c>
      <c r="H897" s="2">
        <v>1005.4</v>
      </c>
      <c r="I897" s="2">
        <v>699.8</v>
      </c>
      <c r="J897" s="2">
        <v>305.60000000000002</v>
      </c>
      <c r="K897" s="2" t="s">
        <v>21</v>
      </c>
      <c r="L897" s="2"/>
      <c r="M897" s="2">
        <v>5</v>
      </c>
      <c r="N897" s="2" t="s">
        <v>22</v>
      </c>
    </row>
    <row r="898" spans="1:14" x14ac:dyDescent="0.3">
      <c r="A898" s="2" t="s">
        <v>1502</v>
      </c>
      <c r="B898" s="2" t="s">
        <v>82</v>
      </c>
      <c r="C898" s="2" t="s">
        <v>54</v>
      </c>
      <c r="D898" s="2" t="s">
        <v>277</v>
      </c>
      <c r="E898" s="2" t="s">
        <v>162</v>
      </c>
      <c r="F898" s="2" t="s">
        <v>19</v>
      </c>
      <c r="G898" s="2" t="s">
        <v>28</v>
      </c>
      <c r="H898" s="2">
        <v>3030.07</v>
      </c>
      <c r="I898" s="2">
        <v>2273.9299999999998</v>
      </c>
      <c r="J898" s="2">
        <v>756.14</v>
      </c>
      <c r="K898" s="2" t="s">
        <v>21</v>
      </c>
      <c r="L898" s="2"/>
      <c r="M898" s="2">
        <v>3</v>
      </c>
      <c r="N898" s="2" t="s">
        <v>22</v>
      </c>
    </row>
    <row r="899" spans="1:14" x14ac:dyDescent="0.3">
      <c r="A899" s="2" t="s">
        <v>1503</v>
      </c>
      <c r="B899" s="2" t="s">
        <v>1504</v>
      </c>
      <c r="C899" s="2" t="s">
        <v>111</v>
      </c>
      <c r="D899" s="2" t="s">
        <v>42</v>
      </c>
      <c r="E899" s="2" t="s">
        <v>214</v>
      </c>
      <c r="F899" s="2" t="s">
        <v>27</v>
      </c>
      <c r="G899" s="2" t="s">
        <v>44</v>
      </c>
      <c r="H899" s="2">
        <v>167.59</v>
      </c>
      <c r="I899" s="2">
        <v>120.23</v>
      </c>
      <c r="J899" s="2">
        <v>47.36</v>
      </c>
      <c r="K899" s="2" t="s">
        <v>56</v>
      </c>
      <c r="L899" s="2">
        <v>9</v>
      </c>
      <c r="M899" s="2">
        <v>4</v>
      </c>
      <c r="N899" s="2" t="s">
        <v>29</v>
      </c>
    </row>
    <row r="900" spans="1:14" x14ac:dyDescent="0.3">
      <c r="A900" s="2" t="s">
        <v>1505</v>
      </c>
      <c r="B900" s="2" t="s">
        <v>1245</v>
      </c>
      <c r="C900" s="2" t="s">
        <v>32</v>
      </c>
      <c r="D900" s="2" t="s">
        <v>42</v>
      </c>
      <c r="E900" s="2" t="s">
        <v>43</v>
      </c>
      <c r="F900" s="2" t="s">
        <v>35</v>
      </c>
      <c r="G900" s="2" t="s">
        <v>36</v>
      </c>
      <c r="H900" s="2">
        <v>4628.5600000000004</v>
      </c>
      <c r="I900" s="2">
        <v>4133.79</v>
      </c>
      <c r="J900" s="2">
        <v>494.77</v>
      </c>
      <c r="K900" s="2" t="s">
        <v>56</v>
      </c>
      <c r="L900" s="2">
        <v>10</v>
      </c>
      <c r="M900" s="2">
        <v>2</v>
      </c>
      <c r="N900" s="2" t="s">
        <v>29</v>
      </c>
    </row>
    <row r="901" spans="1:14" x14ac:dyDescent="0.3">
      <c r="A901" s="2" t="s">
        <v>1506</v>
      </c>
      <c r="B901" s="2" t="s">
        <v>1278</v>
      </c>
      <c r="C901" s="2" t="s">
        <v>16</v>
      </c>
      <c r="D901" s="2" t="s">
        <v>33</v>
      </c>
      <c r="E901" s="2" t="s">
        <v>119</v>
      </c>
      <c r="F901" s="2" t="s">
        <v>19</v>
      </c>
      <c r="G901" s="2" t="s">
        <v>73</v>
      </c>
      <c r="H901" s="2">
        <v>3276.19</v>
      </c>
      <c r="I901" s="2">
        <v>2617.2199999999998</v>
      </c>
      <c r="J901" s="2">
        <v>658.97</v>
      </c>
      <c r="K901" s="2" t="s">
        <v>21</v>
      </c>
      <c r="L901" s="2"/>
      <c r="M901" s="2">
        <v>1</v>
      </c>
      <c r="N901" s="2" t="s">
        <v>22</v>
      </c>
    </row>
    <row r="902" spans="1:14" x14ac:dyDescent="0.3">
      <c r="A902" s="2" t="s">
        <v>1507</v>
      </c>
      <c r="B902" s="2" t="s">
        <v>1368</v>
      </c>
      <c r="C902" s="2" t="s">
        <v>111</v>
      </c>
      <c r="D902" s="2" t="s">
        <v>17</v>
      </c>
      <c r="E902" s="2" t="s">
        <v>226</v>
      </c>
      <c r="F902" s="2" t="s">
        <v>87</v>
      </c>
      <c r="G902" s="2" t="s">
        <v>20</v>
      </c>
      <c r="H902" s="2">
        <v>2404.88</v>
      </c>
      <c r="I902" s="2">
        <v>1713.5</v>
      </c>
      <c r="J902" s="2">
        <v>691.38</v>
      </c>
      <c r="K902" s="2" t="s">
        <v>21</v>
      </c>
      <c r="L902" s="2"/>
      <c r="M902" s="2">
        <v>4</v>
      </c>
      <c r="N902" s="2" t="s">
        <v>22</v>
      </c>
    </row>
    <row r="903" spans="1:14" x14ac:dyDescent="0.3">
      <c r="A903" s="2" t="s">
        <v>1508</v>
      </c>
      <c r="B903" s="2" t="s">
        <v>213</v>
      </c>
      <c r="C903" s="2" t="s">
        <v>25</v>
      </c>
      <c r="D903" s="2" t="s">
        <v>7</v>
      </c>
      <c r="E903" s="2" t="s">
        <v>65</v>
      </c>
      <c r="F903" s="2" t="s">
        <v>48</v>
      </c>
      <c r="G903" s="2" t="s">
        <v>73</v>
      </c>
      <c r="H903" s="2">
        <v>1261.79</v>
      </c>
      <c r="I903" s="2">
        <v>927.42</v>
      </c>
      <c r="J903" s="2">
        <v>334.37</v>
      </c>
      <c r="K903" s="2" t="s">
        <v>21</v>
      </c>
      <c r="L903" s="2"/>
      <c r="M903" s="2">
        <v>4</v>
      </c>
      <c r="N903" s="2" t="s">
        <v>22</v>
      </c>
    </row>
    <row r="904" spans="1:14" x14ac:dyDescent="0.3">
      <c r="A904" s="2" t="s">
        <v>1509</v>
      </c>
      <c r="B904" s="2" t="s">
        <v>189</v>
      </c>
      <c r="C904" s="2" t="s">
        <v>16</v>
      </c>
      <c r="D904" s="2" t="s">
        <v>33</v>
      </c>
      <c r="E904" s="2" t="s">
        <v>39</v>
      </c>
      <c r="F904" s="2" t="s">
        <v>35</v>
      </c>
      <c r="G904" s="2" t="s">
        <v>28</v>
      </c>
      <c r="H904" s="2">
        <v>1419.11</v>
      </c>
      <c r="I904" s="2">
        <v>987.23</v>
      </c>
      <c r="J904" s="2">
        <v>431.88</v>
      </c>
      <c r="K904" s="2" t="s">
        <v>21</v>
      </c>
      <c r="L904" s="2"/>
      <c r="M904" s="2">
        <v>3</v>
      </c>
      <c r="N904" s="2" t="s">
        <v>29</v>
      </c>
    </row>
    <row r="905" spans="1:14" x14ac:dyDescent="0.3">
      <c r="A905" s="2" t="s">
        <v>1510</v>
      </c>
      <c r="B905" s="2" t="s">
        <v>1090</v>
      </c>
      <c r="C905" s="2" t="s">
        <v>32</v>
      </c>
      <c r="D905" s="2" t="s">
        <v>17</v>
      </c>
      <c r="E905" s="2" t="s">
        <v>18</v>
      </c>
      <c r="F905" s="2" t="s">
        <v>40</v>
      </c>
      <c r="G905" s="2" t="s">
        <v>73</v>
      </c>
      <c r="H905" s="2">
        <v>2590.83</v>
      </c>
      <c r="I905" s="2">
        <v>1693.23</v>
      </c>
      <c r="J905" s="2">
        <v>897.6</v>
      </c>
      <c r="K905" s="2" t="s">
        <v>56</v>
      </c>
      <c r="L905" s="2">
        <v>6</v>
      </c>
      <c r="M905" s="2">
        <v>1</v>
      </c>
      <c r="N905" s="2" t="s">
        <v>22</v>
      </c>
    </row>
    <row r="906" spans="1:14" x14ac:dyDescent="0.3">
      <c r="A906" s="2" t="s">
        <v>1511</v>
      </c>
      <c r="B906" s="2" t="s">
        <v>1512</v>
      </c>
      <c r="C906" s="2" t="s">
        <v>111</v>
      </c>
      <c r="D906" s="2" t="s">
        <v>33</v>
      </c>
      <c r="E906" s="2" t="s">
        <v>205</v>
      </c>
      <c r="F906" s="2" t="s">
        <v>40</v>
      </c>
      <c r="G906" s="2" t="s">
        <v>36</v>
      </c>
      <c r="H906" s="2">
        <v>1086.47</v>
      </c>
      <c r="I906" s="2">
        <v>809.65</v>
      </c>
      <c r="J906" s="2">
        <v>276.82</v>
      </c>
      <c r="K906" s="2" t="s">
        <v>21</v>
      </c>
      <c r="L906" s="2"/>
      <c r="M906" s="2">
        <v>4</v>
      </c>
      <c r="N906" s="2" t="s">
        <v>22</v>
      </c>
    </row>
    <row r="907" spans="1:14" x14ac:dyDescent="0.3">
      <c r="A907" s="2" t="s">
        <v>1513</v>
      </c>
      <c r="B907" s="2" t="s">
        <v>1222</v>
      </c>
      <c r="C907" s="2" t="s">
        <v>124</v>
      </c>
      <c r="D907" s="2" t="s">
        <v>17</v>
      </c>
      <c r="E907" s="2" t="s">
        <v>51</v>
      </c>
      <c r="F907" s="2" t="s">
        <v>61</v>
      </c>
      <c r="G907" s="2" t="s">
        <v>20</v>
      </c>
      <c r="H907" s="2">
        <v>273.85000000000002</v>
      </c>
      <c r="I907" s="2">
        <v>173.52</v>
      </c>
      <c r="J907" s="2">
        <v>100.33</v>
      </c>
      <c r="K907" s="2" t="s">
        <v>21</v>
      </c>
      <c r="L907" s="2"/>
      <c r="M907" s="2">
        <v>3</v>
      </c>
      <c r="N907" s="2" t="s">
        <v>22</v>
      </c>
    </row>
    <row r="908" spans="1:14" x14ac:dyDescent="0.3">
      <c r="A908" s="2" t="s">
        <v>1514</v>
      </c>
      <c r="B908" s="2" t="s">
        <v>675</v>
      </c>
      <c r="C908" s="2" t="s">
        <v>54</v>
      </c>
      <c r="D908" s="2" t="s">
        <v>17</v>
      </c>
      <c r="E908" s="2"/>
      <c r="F908" s="2" t="s">
        <v>27</v>
      </c>
      <c r="G908" s="2" t="s">
        <v>28</v>
      </c>
      <c r="H908" s="2">
        <v>2065.0500000000002</v>
      </c>
      <c r="I908" s="2">
        <v>1321.38</v>
      </c>
      <c r="J908" s="2">
        <v>743.67</v>
      </c>
      <c r="K908" s="2" t="s">
        <v>21</v>
      </c>
      <c r="L908" s="2"/>
      <c r="M908" s="2">
        <v>5</v>
      </c>
      <c r="N908" s="2" t="s">
        <v>29</v>
      </c>
    </row>
    <row r="909" spans="1:14" x14ac:dyDescent="0.3">
      <c r="A909" s="2" t="s">
        <v>1515</v>
      </c>
      <c r="B909" s="2" t="s">
        <v>1516</v>
      </c>
      <c r="C909" s="2" t="s">
        <v>32</v>
      </c>
      <c r="D909" s="2" t="s">
        <v>7</v>
      </c>
      <c r="E909" s="2" t="s">
        <v>134</v>
      </c>
      <c r="F909" s="2" t="s">
        <v>27</v>
      </c>
      <c r="G909" s="2" t="s">
        <v>44</v>
      </c>
      <c r="H909" s="2">
        <v>2509.13</v>
      </c>
      <c r="I909" s="2">
        <v>1971.39</v>
      </c>
      <c r="J909" s="2">
        <v>537.74</v>
      </c>
      <c r="K909" s="2" t="s">
        <v>21</v>
      </c>
      <c r="L909" s="2"/>
      <c r="M909" s="2">
        <v>4</v>
      </c>
      <c r="N909" s="2" t="s">
        <v>22</v>
      </c>
    </row>
    <row r="910" spans="1:14" x14ac:dyDescent="0.3">
      <c r="A910" s="2" t="s">
        <v>1039</v>
      </c>
      <c r="B910" s="2" t="s">
        <v>390</v>
      </c>
      <c r="C910" s="2" t="s">
        <v>111</v>
      </c>
      <c r="D910" s="2" t="s">
        <v>59</v>
      </c>
      <c r="E910" s="2" t="s">
        <v>490</v>
      </c>
      <c r="F910" s="2" t="s">
        <v>27</v>
      </c>
      <c r="G910" s="2" t="s">
        <v>36</v>
      </c>
      <c r="H910" s="2">
        <v>4345.66</v>
      </c>
      <c r="I910" s="2">
        <v>2484.0100000000002</v>
      </c>
      <c r="J910" s="2">
        <v>1861.65</v>
      </c>
      <c r="K910" s="2" t="s">
        <v>56</v>
      </c>
      <c r="L910" s="2">
        <v>4</v>
      </c>
      <c r="M910" s="2">
        <v>2</v>
      </c>
      <c r="N910" s="2" t="s">
        <v>22</v>
      </c>
    </row>
    <row r="911" spans="1:14" x14ac:dyDescent="0.3">
      <c r="A911" s="2" t="s">
        <v>1517</v>
      </c>
      <c r="B911" s="2" t="s">
        <v>1518</v>
      </c>
      <c r="C911" s="2" t="s">
        <v>179</v>
      </c>
      <c r="D911" s="2" t="s">
        <v>33</v>
      </c>
      <c r="E911" s="2" t="s">
        <v>93</v>
      </c>
      <c r="F911" s="2" t="s">
        <v>27</v>
      </c>
      <c r="G911" s="2" t="s">
        <v>36</v>
      </c>
      <c r="H911" s="2">
        <v>3610.77</v>
      </c>
      <c r="I911" s="2">
        <v>2628.56</v>
      </c>
      <c r="J911" s="2">
        <v>982.21</v>
      </c>
      <c r="K911" s="2" t="s">
        <v>56</v>
      </c>
      <c r="L911" s="2">
        <v>6</v>
      </c>
      <c r="M911" s="2">
        <v>3</v>
      </c>
      <c r="N911" s="2" t="s">
        <v>22</v>
      </c>
    </row>
    <row r="912" spans="1:14" x14ac:dyDescent="0.3">
      <c r="A912" s="2" t="s">
        <v>1519</v>
      </c>
      <c r="B912" s="2" t="s">
        <v>1160</v>
      </c>
      <c r="C912" s="2" t="s">
        <v>54</v>
      </c>
      <c r="D912" s="2" t="s">
        <v>59</v>
      </c>
      <c r="E912" s="2" t="s">
        <v>194</v>
      </c>
      <c r="F912" s="2" t="s">
        <v>87</v>
      </c>
      <c r="G912" s="2" t="s">
        <v>44</v>
      </c>
      <c r="H912" s="2">
        <v>625.15</v>
      </c>
      <c r="I912" s="2">
        <v>486.39</v>
      </c>
      <c r="J912" s="2">
        <v>138.76</v>
      </c>
      <c r="K912" s="2" t="s">
        <v>21</v>
      </c>
      <c r="L912" s="2"/>
      <c r="M912" s="2">
        <v>4</v>
      </c>
      <c r="N912" s="2" t="s">
        <v>22</v>
      </c>
    </row>
    <row r="913" spans="1:14" x14ac:dyDescent="0.3">
      <c r="A913" s="2" t="s">
        <v>81</v>
      </c>
      <c r="B913" s="2" t="s">
        <v>82</v>
      </c>
      <c r="C913" s="2" t="s">
        <v>54</v>
      </c>
      <c r="D913" s="2" t="s">
        <v>42</v>
      </c>
      <c r="E913" s="2" t="s">
        <v>83</v>
      </c>
      <c r="F913" s="2" t="s">
        <v>84</v>
      </c>
      <c r="G913" s="2" t="s">
        <v>36</v>
      </c>
      <c r="H913" s="2">
        <v>2131.58</v>
      </c>
      <c r="I913" s="2">
        <v>1506.93</v>
      </c>
      <c r="J913" s="2">
        <v>624.65</v>
      </c>
      <c r="K913" s="2" t="s">
        <v>21</v>
      </c>
      <c r="L913" s="2"/>
      <c r="M913" s="2">
        <v>5</v>
      </c>
      <c r="N913" s="2" t="s">
        <v>29</v>
      </c>
    </row>
    <row r="914" spans="1:14" x14ac:dyDescent="0.3">
      <c r="A914" s="2" t="s">
        <v>1520</v>
      </c>
      <c r="B914" s="2" t="s">
        <v>1095</v>
      </c>
      <c r="C914" s="2" t="s">
        <v>25</v>
      </c>
      <c r="D914" s="2" t="s">
        <v>59</v>
      </c>
      <c r="E914" s="2" t="s">
        <v>155</v>
      </c>
      <c r="F914" s="2" t="s">
        <v>35</v>
      </c>
      <c r="G914" s="2" t="s">
        <v>36</v>
      </c>
      <c r="H914" s="2">
        <v>1292.1600000000001</v>
      </c>
      <c r="I914" s="2">
        <v>978.57</v>
      </c>
      <c r="J914" s="2">
        <v>313.58999999999997</v>
      </c>
      <c r="K914" s="2" t="s">
        <v>21</v>
      </c>
      <c r="L914" s="2"/>
      <c r="M914" s="2">
        <v>5</v>
      </c>
      <c r="N914" s="2" t="s">
        <v>22</v>
      </c>
    </row>
    <row r="915" spans="1:14" x14ac:dyDescent="0.3">
      <c r="A915" s="2" t="s">
        <v>1521</v>
      </c>
      <c r="B915" s="2" t="s">
        <v>1522</v>
      </c>
      <c r="C915" s="2" t="s">
        <v>16</v>
      </c>
      <c r="D915" s="2" t="s">
        <v>59</v>
      </c>
      <c r="E915" s="2" t="s">
        <v>194</v>
      </c>
      <c r="F915" s="2" t="s">
        <v>27</v>
      </c>
      <c r="G915" s="2" t="s">
        <v>44</v>
      </c>
      <c r="H915" s="2">
        <v>662.01</v>
      </c>
      <c r="I915" s="2">
        <v>490.3</v>
      </c>
      <c r="J915" s="2">
        <v>171.71</v>
      </c>
      <c r="K915" s="2" t="s">
        <v>21</v>
      </c>
      <c r="L915" s="2"/>
      <c r="M915" s="2">
        <v>3</v>
      </c>
      <c r="N915" s="2" t="s">
        <v>22</v>
      </c>
    </row>
    <row r="916" spans="1:14" x14ac:dyDescent="0.3">
      <c r="A916" s="2" t="s">
        <v>1523</v>
      </c>
      <c r="B916" s="2" t="s">
        <v>585</v>
      </c>
      <c r="C916" s="2" t="s">
        <v>104</v>
      </c>
      <c r="D916" s="2" t="s">
        <v>7</v>
      </c>
      <c r="E916" s="2" t="s">
        <v>182</v>
      </c>
      <c r="F916" s="2" t="s">
        <v>40</v>
      </c>
      <c r="G916" s="2" t="s">
        <v>44</v>
      </c>
      <c r="H916" s="2">
        <v>969.72</v>
      </c>
      <c r="I916" s="2">
        <v>726.63</v>
      </c>
      <c r="J916" s="2">
        <v>243.09</v>
      </c>
      <c r="K916" s="2" t="s">
        <v>21</v>
      </c>
      <c r="L916" s="2"/>
      <c r="M916" s="2">
        <v>4</v>
      </c>
      <c r="N916" s="2" t="s">
        <v>22</v>
      </c>
    </row>
    <row r="917" spans="1:14" x14ac:dyDescent="0.3">
      <c r="A917" s="2" t="s">
        <v>1524</v>
      </c>
      <c r="B917" s="2" t="s">
        <v>1525</v>
      </c>
      <c r="C917" s="2" t="s">
        <v>54</v>
      </c>
      <c r="D917" s="2" t="s">
        <v>33</v>
      </c>
      <c r="E917" s="2" t="s">
        <v>34</v>
      </c>
      <c r="F917" s="2" t="s">
        <v>40</v>
      </c>
      <c r="G917" s="2" t="s">
        <v>28</v>
      </c>
      <c r="H917" s="2">
        <v>512.96</v>
      </c>
      <c r="I917" s="2">
        <v>312.11</v>
      </c>
      <c r="J917" s="2">
        <v>200.85</v>
      </c>
      <c r="K917" s="2" t="s">
        <v>21</v>
      </c>
      <c r="L917" s="2"/>
      <c r="M917" s="2">
        <v>4</v>
      </c>
      <c r="N917" s="2" t="s">
        <v>22</v>
      </c>
    </row>
    <row r="918" spans="1:14" x14ac:dyDescent="0.3">
      <c r="A918" s="2" t="s">
        <v>1526</v>
      </c>
      <c r="B918" s="2" t="s">
        <v>1527</v>
      </c>
      <c r="C918" s="2" t="s">
        <v>179</v>
      </c>
      <c r="D918" s="2" t="s">
        <v>33</v>
      </c>
      <c r="E918" s="2" t="s">
        <v>93</v>
      </c>
      <c r="F918" s="2" t="s">
        <v>27</v>
      </c>
      <c r="G918" s="2" t="s">
        <v>73</v>
      </c>
      <c r="H918" s="2">
        <v>3206.27</v>
      </c>
      <c r="I918" s="2">
        <v>1813.41</v>
      </c>
      <c r="J918" s="2">
        <v>1392.86</v>
      </c>
      <c r="K918" s="2" t="s">
        <v>56</v>
      </c>
      <c r="L918" s="2">
        <v>1</v>
      </c>
      <c r="M918" s="2">
        <v>2</v>
      </c>
      <c r="N918" s="2" t="s">
        <v>29</v>
      </c>
    </row>
    <row r="919" spans="1:14" x14ac:dyDescent="0.3">
      <c r="A919" s="2" t="s">
        <v>1528</v>
      </c>
      <c r="B919" s="2" t="s">
        <v>344</v>
      </c>
      <c r="C919" s="2" t="s">
        <v>64</v>
      </c>
      <c r="D919" s="2" t="s">
        <v>787</v>
      </c>
      <c r="E919" s="2" t="s">
        <v>297</v>
      </c>
      <c r="F919" s="2" t="s">
        <v>19</v>
      </c>
      <c r="G919" s="2" t="s">
        <v>44</v>
      </c>
      <c r="H919" s="2">
        <v>510.95</v>
      </c>
      <c r="I919" s="2">
        <v>315.97000000000003</v>
      </c>
      <c r="J919" s="2">
        <v>194.98</v>
      </c>
      <c r="K919" s="2" t="s">
        <v>21</v>
      </c>
      <c r="L919" s="2"/>
      <c r="M919" s="2">
        <v>4</v>
      </c>
      <c r="N919" s="2" t="s">
        <v>22</v>
      </c>
    </row>
    <row r="920" spans="1:14" x14ac:dyDescent="0.3">
      <c r="A920" s="2" t="s">
        <v>1529</v>
      </c>
      <c r="B920" s="2" t="s">
        <v>709</v>
      </c>
      <c r="C920" s="2" t="s">
        <v>111</v>
      </c>
      <c r="D920" s="2" t="s">
        <v>17</v>
      </c>
      <c r="E920" s="2" t="s">
        <v>96</v>
      </c>
      <c r="F920" s="2" t="s">
        <v>87</v>
      </c>
      <c r="G920" s="2" t="s">
        <v>36</v>
      </c>
      <c r="H920" s="2">
        <v>1848.89</v>
      </c>
      <c r="I920" s="2">
        <v>1257.8800000000001</v>
      </c>
      <c r="J920" s="2">
        <v>591.01</v>
      </c>
      <c r="K920" s="2" t="s">
        <v>21</v>
      </c>
      <c r="L920" s="2"/>
      <c r="M920" s="2">
        <v>4</v>
      </c>
      <c r="N920" s="2" t="s">
        <v>29</v>
      </c>
    </row>
    <row r="921" spans="1:14" x14ac:dyDescent="0.3">
      <c r="A921" s="2" t="s">
        <v>1530</v>
      </c>
      <c r="B921" s="2" t="s">
        <v>243</v>
      </c>
      <c r="C921" s="2" t="s">
        <v>68</v>
      </c>
      <c r="D921" s="2" t="s">
        <v>42</v>
      </c>
      <c r="E921" s="2" t="s">
        <v>47</v>
      </c>
      <c r="F921" s="2" t="s">
        <v>35</v>
      </c>
      <c r="G921" s="2" t="s">
        <v>421</v>
      </c>
      <c r="H921" s="2">
        <v>3159.14</v>
      </c>
      <c r="I921" s="2">
        <v>2501.75</v>
      </c>
      <c r="J921" s="2">
        <v>657.39</v>
      </c>
      <c r="K921" s="2" t="s">
        <v>56</v>
      </c>
      <c r="L921" s="2">
        <v>10</v>
      </c>
      <c r="M921" s="2">
        <v>2</v>
      </c>
      <c r="N921" s="2" t="s">
        <v>22</v>
      </c>
    </row>
    <row r="922" spans="1:14" x14ac:dyDescent="0.3">
      <c r="A922" s="2" t="s">
        <v>950</v>
      </c>
      <c r="B922" s="2" t="s">
        <v>310</v>
      </c>
      <c r="C922" s="2" t="s">
        <v>124</v>
      </c>
      <c r="D922" s="2" t="s">
        <v>42</v>
      </c>
      <c r="E922" s="2" t="s">
        <v>214</v>
      </c>
      <c r="F922" s="2" t="s">
        <v>40</v>
      </c>
      <c r="G922" s="2" t="s">
        <v>299</v>
      </c>
      <c r="H922" s="2">
        <v>1863.81</v>
      </c>
      <c r="I922" s="2">
        <v>1557.95</v>
      </c>
      <c r="J922" s="2">
        <v>305.86</v>
      </c>
      <c r="K922" s="2" t="s">
        <v>56</v>
      </c>
      <c r="L922" s="2">
        <v>10</v>
      </c>
      <c r="M922" s="2">
        <v>1</v>
      </c>
      <c r="N922" s="2" t="s">
        <v>29</v>
      </c>
    </row>
    <row r="923" spans="1:14" x14ac:dyDescent="0.3">
      <c r="A923" s="2" t="s">
        <v>1531</v>
      </c>
      <c r="B923" s="2" t="s">
        <v>1532</v>
      </c>
      <c r="C923" s="2" t="s">
        <v>68</v>
      </c>
      <c r="D923" s="2" t="s">
        <v>17</v>
      </c>
      <c r="E923" s="2" t="s">
        <v>96</v>
      </c>
      <c r="F923" s="2" t="s">
        <v>35</v>
      </c>
      <c r="G923" s="2" t="s">
        <v>36</v>
      </c>
      <c r="H923" s="2">
        <v>3807.67</v>
      </c>
      <c r="I923" s="2">
        <v>2722.15</v>
      </c>
      <c r="J923" s="2">
        <v>1085.52</v>
      </c>
      <c r="K923" s="2" t="s">
        <v>56</v>
      </c>
      <c r="L923" s="2">
        <v>9</v>
      </c>
      <c r="M923" s="2">
        <v>2</v>
      </c>
      <c r="N923" s="2" t="s">
        <v>22</v>
      </c>
    </row>
    <row r="924" spans="1:14" x14ac:dyDescent="0.3">
      <c r="A924" s="2" t="s">
        <v>1533</v>
      </c>
      <c r="B924" s="2" t="s">
        <v>1534</v>
      </c>
      <c r="C924" s="2" t="s">
        <v>124</v>
      </c>
      <c r="D924" s="2" t="s">
        <v>17</v>
      </c>
      <c r="E924" s="2" t="s">
        <v>469</v>
      </c>
      <c r="F924" s="2"/>
      <c r="G924" s="2" t="s">
        <v>1535</v>
      </c>
      <c r="H924" s="2">
        <v>272.23</v>
      </c>
      <c r="I924" s="2">
        <v>200.48</v>
      </c>
      <c r="J924" s="2">
        <v>71.75</v>
      </c>
      <c r="K924" s="2" t="s">
        <v>21</v>
      </c>
      <c r="L924" s="2"/>
      <c r="M924" s="2">
        <v>3</v>
      </c>
      <c r="N924" s="2" t="s">
        <v>22</v>
      </c>
    </row>
    <row r="925" spans="1:14" x14ac:dyDescent="0.3">
      <c r="A925" s="2" t="s">
        <v>1536</v>
      </c>
      <c r="B925" s="2" t="s">
        <v>159</v>
      </c>
      <c r="C925" s="2" t="s">
        <v>54</v>
      </c>
      <c r="D925" s="2" t="s">
        <v>59</v>
      </c>
      <c r="E925" s="2" t="s">
        <v>155</v>
      </c>
      <c r="F925" s="2" t="s">
        <v>35</v>
      </c>
      <c r="G925" s="2" t="s">
        <v>28</v>
      </c>
      <c r="H925" s="2">
        <v>2683.33</v>
      </c>
      <c r="I925" s="2">
        <v>1949.55</v>
      </c>
      <c r="J925" s="2">
        <v>733.78</v>
      </c>
      <c r="K925" s="2" t="s">
        <v>21</v>
      </c>
      <c r="L925" s="2"/>
      <c r="M925" s="2">
        <v>4</v>
      </c>
      <c r="N925" s="2" t="s">
        <v>22</v>
      </c>
    </row>
    <row r="926" spans="1:14" x14ac:dyDescent="0.3">
      <c r="A926" s="2" t="s">
        <v>1537</v>
      </c>
      <c r="B926" s="2" t="s">
        <v>1538</v>
      </c>
      <c r="C926" s="2" t="s">
        <v>104</v>
      </c>
      <c r="D926" s="2" t="s">
        <v>42</v>
      </c>
      <c r="E926" s="2" t="s">
        <v>262</v>
      </c>
      <c r="F926" s="2" t="s">
        <v>40</v>
      </c>
      <c r="G926" s="2" t="s">
        <v>44</v>
      </c>
      <c r="H926" s="2">
        <v>3088.43</v>
      </c>
      <c r="I926" s="2">
        <v>2623.12</v>
      </c>
      <c r="J926" s="2">
        <v>465.31</v>
      </c>
      <c r="K926" s="2" t="s">
        <v>21</v>
      </c>
      <c r="L926" s="2"/>
      <c r="M926" s="2">
        <v>3</v>
      </c>
      <c r="N926" s="2" t="s">
        <v>22</v>
      </c>
    </row>
    <row r="927" spans="1:14" x14ac:dyDescent="0.3">
      <c r="A927" s="2" t="s">
        <v>1539</v>
      </c>
      <c r="B927" s="2" t="s">
        <v>1540</v>
      </c>
      <c r="C927" s="2" t="s">
        <v>124</v>
      </c>
      <c r="D927" s="2" t="s">
        <v>7</v>
      </c>
      <c r="E927" s="2" t="s">
        <v>65</v>
      </c>
      <c r="F927" s="2" t="s">
        <v>1541</v>
      </c>
      <c r="G927" s="2" t="s">
        <v>44</v>
      </c>
      <c r="H927" s="2">
        <v>1246.99</v>
      </c>
      <c r="I927" s="2">
        <v>784.15</v>
      </c>
      <c r="J927" s="2">
        <v>462.84</v>
      </c>
      <c r="K927" s="2" t="s">
        <v>21</v>
      </c>
      <c r="L927" s="2"/>
      <c r="M927" s="2">
        <v>3</v>
      </c>
      <c r="N927" s="2" t="s">
        <v>22</v>
      </c>
    </row>
    <row r="928" spans="1:14" x14ac:dyDescent="0.3">
      <c r="A928" s="2" t="s">
        <v>1542</v>
      </c>
      <c r="B928" s="2" t="s">
        <v>1543</v>
      </c>
      <c r="C928" s="2" t="s">
        <v>16</v>
      </c>
      <c r="D928" s="2" t="s">
        <v>42</v>
      </c>
      <c r="E928" s="2" t="s">
        <v>43</v>
      </c>
      <c r="F928" s="2" t="s">
        <v>19</v>
      </c>
      <c r="G928" s="2" t="s">
        <v>36</v>
      </c>
      <c r="H928" s="2">
        <v>2613.3200000000002</v>
      </c>
      <c r="I928" s="2">
        <v>1834.57</v>
      </c>
      <c r="J928" s="2">
        <v>778.75</v>
      </c>
      <c r="K928" s="2" t="s">
        <v>21</v>
      </c>
      <c r="L928" s="2"/>
      <c r="M928" s="2">
        <v>3</v>
      </c>
      <c r="N928" s="2" t="s">
        <v>22</v>
      </c>
    </row>
    <row r="929" spans="1:14" x14ac:dyDescent="0.3">
      <c r="A929" s="2" t="s">
        <v>1544</v>
      </c>
      <c r="B929" s="2" t="s">
        <v>189</v>
      </c>
      <c r="C929" s="2" t="s">
        <v>16</v>
      </c>
      <c r="D929" s="2" t="s">
        <v>59</v>
      </c>
      <c r="E929" s="2" t="s">
        <v>116</v>
      </c>
      <c r="F929" s="2" t="s">
        <v>48</v>
      </c>
      <c r="G929" s="2" t="s">
        <v>36</v>
      </c>
      <c r="H929" s="2">
        <v>2591.92</v>
      </c>
      <c r="I929" s="2">
        <v>1662.79</v>
      </c>
      <c r="J929" s="2">
        <v>929.13</v>
      </c>
      <c r="K929" s="2" t="s">
        <v>21</v>
      </c>
      <c r="L929" s="2"/>
      <c r="M929" s="2">
        <v>5</v>
      </c>
      <c r="N929" s="2" t="s">
        <v>22</v>
      </c>
    </row>
    <row r="930" spans="1:14" x14ac:dyDescent="0.3">
      <c r="A930" s="2" t="s">
        <v>1545</v>
      </c>
      <c r="B930" s="2" t="s">
        <v>685</v>
      </c>
      <c r="C930" s="2" t="s">
        <v>32</v>
      </c>
      <c r="D930" s="2" t="s">
        <v>42</v>
      </c>
      <c r="E930" s="2" t="s">
        <v>43</v>
      </c>
      <c r="F930" s="2" t="s">
        <v>87</v>
      </c>
      <c r="G930" s="2" t="s">
        <v>20</v>
      </c>
      <c r="H930" s="2">
        <v>1070.92</v>
      </c>
      <c r="I930" s="2">
        <v>933.47</v>
      </c>
      <c r="J930" s="2">
        <v>137.44999999999999</v>
      </c>
      <c r="K930" s="2" t="s">
        <v>21</v>
      </c>
      <c r="L930" s="2"/>
      <c r="M930" s="2">
        <v>4</v>
      </c>
      <c r="N930" s="2" t="s">
        <v>22</v>
      </c>
    </row>
    <row r="931" spans="1:14" x14ac:dyDescent="0.3">
      <c r="A931" s="2" t="s">
        <v>1252</v>
      </c>
      <c r="B931" s="2" t="s">
        <v>1253</v>
      </c>
      <c r="C931" s="2" t="s">
        <v>124</v>
      </c>
      <c r="D931" s="2" t="s">
        <v>33</v>
      </c>
      <c r="E931" s="2" t="s">
        <v>297</v>
      </c>
      <c r="F931" s="2" t="s">
        <v>35</v>
      </c>
      <c r="G931" s="2" t="s">
        <v>36</v>
      </c>
      <c r="H931" s="2">
        <v>2802.47</v>
      </c>
      <c r="I931" s="2">
        <v>2216.17</v>
      </c>
      <c r="J931" s="2">
        <v>586.29999999999995</v>
      </c>
      <c r="K931" s="2" t="s">
        <v>21</v>
      </c>
      <c r="L931" s="2"/>
      <c r="M931" s="2">
        <v>5</v>
      </c>
      <c r="N931" s="2" t="s">
        <v>22</v>
      </c>
    </row>
    <row r="932" spans="1:14" x14ac:dyDescent="0.3">
      <c r="A932" s="2" t="s">
        <v>1546</v>
      </c>
      <c r="B932" s="2" t="s">
        <v>1547</v>
      </c>
      <c r="C932" s="2" t="s">
        <v>76</v>
      </c>
      <c r="D932" s="2" t="s">
        <v>59</v>
      </c>
      <c r="E932" s="2" t="s">
        <v>301</v>
      </c>
      <c r="F932" s="2" t="s">
        <v>35</v>
      </c>
      <c r="G932" s="2" t="s">
        <v>44</v>
      </c>
      <c r="H932" s="2">
        <v>3358.37</v>
      </c>
      <c r="I932" s="2">
        <v>2225.36</v>
      </c>
      <c r="J932" s="2">
        <v>1133.01</v>
      </c>
      <c r="K932" s="2" t="s">
        <v>21</v>
      </c>
      <c r="L932" s="2"/>
      <c r="M932" s="2">
        <v>5</v>
      </c>
      <c r="N932" s="2" t="s">
        <v>29</v>
      </c>
    </row>
    <row r="933" spans="1:14" x14ac:dyDescent="0.3">
      <c r="A933" s="2" t="s">
        <v>1548</v>
      </c>
      <c r="B933" s="2" t="s">
        <v>818</v>
      </c>
      <c r="C933" s="2" t="s">
        <v>115</v>
      </c>
      <c r="D933" s="2" t="s">
        <v>33</v>
      </c>
      <c r="E933" s="2" t="s">
        <v>34</v>
      </c>
      <c r="F933" s="2" t="s">
        <v>40</v>
      </c>
      <c r="G933" s="2" t="s">
        <v>36</v>
      </c>
      <c r="H933" s="2">
        <v>3035.69</v>
      </c>
      <c r="I933" s="2">
        <v>1703.77</v>
      </c>
      <c r="J933" s="2">
        <v>1331.92</v>
      </c>
      <c r="K933" s="2" t="s">
        <v>21</v>
      </c>
      <c r="L933" s="2"/>
      <c r="M933" s="2">
        <v>2</v>
      </c>
      <c r="N933" s="2" t="s">
        <v>22</v>
      </c>
    </row>
    <row r="934" spans="1:14" x14ac:dyDescent="0.3">
      <c r="A934" s="2" t="s">
        <v>1549</v>
      </c>
      <c r="B934" s="2" t="s">
        <v>1550</v>
      </c>
      <c r="C934" s="2" t="s">
        <v>64</v>
      </c>
      <c r="D934" s="2" t="s">
        <v>42</v>
      </c>
      <c r="E934" s="2" t="s">
        <v>80</v>
      </c>
      <c r="F934" s="2" t="s">
        <v>40</v>
      </c>
      <c r="G934" s="2" t="s">
        <v>36</v>
      </c>
      <c r="H934" s="2">
        <v>239.75</v>
      </c>
      <c r="I934" s="2">
        <v>212.22</v>
      </c>
      <c r="J934" s="2">
        <v>27.53</v>
      </c>
      <c r="K934" s="2" t="s">
        <v>21</v>
      </c>
      <c r="L934" s="2"/>
      <c r="M934" s="2">
        <v>4</v>
      </c>
      <c r="N934" s="2" t="s">
        <v>22</v>
      </c>
    </row>
    <row r="935" spans="1:14" x14ac:dyDescent="0.3">
      <c r="A935" s="2" t="s">
        <v>1551</v>
      </c>
      <c r="B935" s="2" t="s">
        <v>289</v>
      </c>
      <c r="C935" s="2" t="s">
        <v>32</v>
      </c>
      <c r="D935" s="2" t="s">
        <v>7</v>
      </c>
      <c r="E935" s="2"/>
      <c r="F935" s="2" t="s">
        <v>27</v>
      </c>
      <c r="G935" s="2" t="s">
        <v>44</v>
      </c>
      <c r="H935" s="2">
        <v>2921.31</v>
      </c>
      <c r="I935" s="2">
        <v>1967.61</v>
      </c>
      <c r="J935" s="2">
        <v>953.7</v>
      </c>
      <c r="K935" s="2" t="s">
        <v>21</v>
      </c>
      <c r="L935" s="2"/>
      <c r="M935" s="2">
        <v>5</v>
      </c>
      <c r="N935" s="2" t="s">
        <v>22</v>
      </c>
    </row>
    <row r="936" spans="1:14" x14ac:dyDescent="0.3">
      <c r="A936" s="2" t="s">
        <v>1552</v>
      </c>
      <c r="B936" s="2" t="s">
        <v>1553</v>
      </c>
      <c r="C936" s="2" t="s">
        <v>16</v>
      </c>
      <c r="D936" s="2" t="s">
        <v>59</v>
      </c>
      <c r="E936" s="2" t="s">
        <v>490</v>
      </c>
      <c r="F936" s="2" t="s">
        <v>87</v>
      </c>
      <c r="G936" s="2" t="s">
        <v>73</v>
      </c>
      <c r="H936" s="2">
        <v>2126.86</v>
      </c>
      <c r="I936" s="2">
        <v>1258.77</v>
      </c>
      <c r="J936" s="2">
        <v>868.09</v>
      </c>
      <c r="K936" s="2" t="s">
        <v>21</v>
      </c>
      <c r="L936" s="2"/>
      <c r="M936" s="2">
        <v>5</v>
      </c>
      <c r="N936" s="2" t="s">
        <v>22</v>
      </c>
    </row>
    <row r="937" spans="1:14" x14ac:dyDescent="0.3">
      <c r="A937" s="2" t="s">
        <v>1554</v>
      </c>
      <c r="B937" s="2" t="s">
        <v>310</v>
      </c>
      <c r="C937" s="2" t="s">
        <v>124</v>
      </c>
      <c r="D937" s="2" t="s">
        <v>7</v>
      </c>
      <c r="E937" s="2" t="s">
        <v>128</v>
      </c>
      <c r="F937" s="2" t="s">
        <v>27</v>
      </c>
      <c r="G937" s="2" t="s">
        <v>44</v>
      </c>
      <c r="H937" s="2">
        <v>1477.84</v>
      </c>
      <c r="I937" s="2">
        <v>1005.91</v>
      </c>
      <c r="J937" s="2">
        <v>471.93</v>
      </c>
      <c r="K937" s="2" t="s">
        <v>56</v>
      </c>
      <c r="L937" s="2">
        <v>2</v>
      </c>
      <c r="M937" s="2">
        <v>3</v>
      </c>
      <c r="N937" s="2" t="s">
        <v>22</v>
      </c>
    </row>
    <row r="938" spans="1:14" x14ac:dyDescent="0.3">
      <c r="A938" s="2" t="s">
        <v>1555</v>
      </c>
      <c r="B938" s="2" t="s">
        <v>973</v>
      </c>
      <c r="C938" s="2" t="s">
        <v>32</v>
      </c>
      <c r="D938" s="2" t="s">
        <v>42</v>
      </c>
      <c r="E938" s="2" t="s">
        <v>80</v>
      </c>
      <c r="F938" s="2" t="s">
        <v>35</v>
      </c>
      <c r="G938" s="2" t="s">
        <v>73</v>
      </c>
      <c r="H938" s="2">
        <v>1501.37</v>
      </c>
      <c r="I938" s="2">
        <v>1369.81</v>
      </c>
      <c r="J938" s="2">
        <v>131.56</v>
      </c>
      <c r="K938" s="2" t="s">
        <v>56</v>
      </c>
      <c r="L938" s="2">
        <v>11</v>
      </c>
      <c r="M938" s="2">
        <v>4</v>
      </c>
      <c r="N938" s="2" t="s">
        <v>22</v>
      </c>
    </row>
    <row r="939" spans="1:14" x14ac:dyDescent="0.3">
      <c r="A939" s="2" t="s">
        <v>1106</v>
      </c>
      <c r="B939" s="2" t="s">
        <v>531</v>
      </c>
      <c r="C939" s="2" t="s">
        <v>124</v>
      </c>
      <c r="D939" s="2" t="s">
        <v>7</v>
      </c>
      <c r="E939" s="2" t="s">
        <v>185</v>
      </c>
      <c r="F939" s="2" t="s">
        <v>40</v>
      </c>
      <c r="G939" s="2" t="s">
        <v>36</v>
      </c>
      <c r="H939" s="2">
        <v>1296.21</v>
      </c>
      <c r="I939" s="2">
        <v>902.7</v>
      </c>
      <c r="J939" s="2">
        <v>393.51</v>
      </c>
      <c r="K939" s="2" t="s">
        <v>21</v>
      </c>
      <c r="L939" s="2"/>
      <c r="M939" s="2">
        <v>1</v>
      </c>
      <c r="N939" s="2" t="s">
        <v>22</v>
      </c>
    </row>
    <row r="940" spans="1:14" x14ac:dyDescent="0.3">
      <c r="A940" s="2" t="s">
        <v>1556</v>
      </c>
      <c r="B940" s="2" t="s">
        <v>1467</v>
      </c>
      <c r="C940" s="2" t="s">
        <v>68</v>
      </c>
      <c r="D940" s="2" t="s">
        <v>59</v>
      </c>
      <c r="E940" s="2" t="s">
        <v>194</v>
      </c>
      <c r="F940" s="2" t="s">
        <v>84</v>
      </c>
      <c r="G940" s="2" t="s">
        <v>73</v>
      </c>
      <c r="H940" s="2">
        <v>1850.24</v>
      </c>
      <c r="I940" s="2">
        <v>1462.81</v>
      </c>
      <c r="J940" s="2">
        <v>387.43</v>
      </c>
      <c r="K940" s="2" t="s">
        <v>21</v>
      </c>
      <c r="L940" s="2"/>
      <c r="M940" s="2">
        <v>4</v>
      </c>
      <c r="N940" s="2" t="s">
        <v>29</v>
      </c>
    </row>
    <row r="941" spans="1:14" x14ac:dyDescent="0.3">
      <c r="A941" s="2" t="s">
        <v>1557</v>
      </c>
      <c r="B941" s="2" t="s">
        <v>1558</v>
      </c>
      <c r="C941" s="2" t="s">
        <v>68</v>
      </c>
      <c r="D941" s="2" t="s">
        <v>59</v>
      </c>
      <c r="E941" s="2" t="s">
        <v>490</v>
      </c>
      <c r="F941" s="2" t="s">
        <v>19</v>
      </c>
      <c r="G941" s="2" t="s">
        <v>20</v>
      </c>
      <c r="H941" s="2">
        <v>3408.62</v>
      </c>
      <c r="I941" s="2">
        <v>2471.2199999999998</v>
      </c>
      <c r="J941" s="2">
        <v>937.4</v>
      </c>
      <c r="K941" s="2" t="s">
        <v>21</v>
      </c>
      <c r="L941" s="2"/>
      <c r="M941" s="2">
        <v>5</v>
      </c>
      <c r="N941" s="2" t="s">
        <v>22</v>
      </c>
    </row>
    <row r="942" spans="1:14" x14ac:dyDescent="0.3">
      <c r="A942" s="2" t="s">
        <v>1559</v>
      </c>
      <c r="B942" s="2" t="s">
        <v>332</v>
      </c>
      <c r="C942" s="2" t="s">
        <v>104</v>
      </c>
      <c r="D942" s="2" t="s">
        <v>33</v>
      </c>
      <c r="E942" s="2" t="s">
        <v>119</v>
      </c>
      <c r="F942" s="2" t="s">
        <v>40</v>
      </c>
      <c r="G942" s="2" t="s">
        <v>44</v>
      </c>
      <c r="H942" s="2">
        <v>374.2</v>
      </c>
      <c r="I942" s="2">
        <v>242.25</v>
      </c>
      <c r="J942" s="2">
        <v>131.94999999999999</v>
      </c>
      <c r="K942" s="2" t="s">
        <v>21</v>
      </c>
      <c r="L942" s="2"/>
      <c r="M942" s="2">
        <v>3</v>
      </c>
      <c r="N942" s="2" t="s">
        <v>22</v>
      </c>
    </row>
    <row r="943" spans="1:14" x14ac:dyDescent="0.3">
      <c r="A943" s="2" t="s">
        <v>1560</v>
      </c>
      <c r="B943" s="2" t="s">
        <v>1561</v>
      </c>
      <c r="C943" s="2" t="s">
        <v>111</v>
      </c>
      <c r="D943" s="2" t="s">
        <v>17</v>
      </c>
      <c r="E943" s="2" t="s">
        <v>51</v>
      </c>
      <c r="F943" s="2" t="s">
        <v>35</v>
      </c>
      <c r="G943" s="2" t="s">
        <v>44</v>
      </c>
      <c r="H943" s="2">
        <v>2956.88</v>
      </c>
      <c r="I943" s="2">
        <v>2270.9499999999998</v>
      </c>
      <c r="J943" s="2">
        <v>685.93</v>
      </c>
      <c r="K943" s="2" t="s">
        <v>56</v>
      </c>
      <c r="L943" s="2">
        <v>3</v>
      </c>
      <c r="M943" s="2">
        <v>3</v>
      </c>
      <c r="N943" s="2" t="s">
        <v>22</v>
      </c>
    </row>
    <row r="944" spans="1:14" x14ac:dyDescent="0.3">
      <c r="A944" s="2" t="s">
        <v>1562</v>
      </c>
      <c r="B944" s="2" t="s">
        <v>854</v>
      </c>
      <c r="C944" s="2" t="s">
        <v>16</v>
      </c>
      <c r="D944" s="2" t="s">
        <v>787</v>
      </c>
      <c r="E944" s="2" t="s">
        <v>39</v>
      </c>
      <c r="F944" s="2" t="s">
        <v>19</v>
      </c>
      <c r="G944" s="2" t="s">
        <v>28</v>
      </c>
      <c r="H944" s="2">
        <v>3248.13</v>
      </c>
      <c r="I944" s="2">
        <v>1816.42</v>
      </c>
      <c r="J944" s="2">
        <v>1431.71</v>
      </c>
      <c r="K944" s="2" t="s">
        <v>90</v>
      </c>
      <c r="L944" s="2"/>
      <c r="M944" s="2">
        <v>2</v>
      </c>
      <c r="N944" s="2" t="s">
        <v>22</v>
      </c>
    </row>
    <row r="945" spans="1:14" x14ac:dyDescent="0.3">
      <c r="A945" s="2" t="s">
        <v>1563</v>
      </c>
      <c r="B945" s="2" t="s">
        <v>320</v>
      </c>
      <c r="C945" s="2" t="s">
        <v>111</v>
      </c>
      <c r="D945" s="2" t="s">
        <v>42</v>
      </c>
      <c r="E945" s="2" t="s">
        <v>47</v>
      </c>
      <c r="F945" s="2" t="s">
        <v>40</v>
      </c>
      <c r="G945" s="2" t="s">
        <v>44</v>
      </c>
      <c r="H945" s="2">
        <v>2020.18</v>
      </c>
      <c r="I945" s="2">
        <v>1688.83</v>
      </c>
      <c r="J945" s="2">
        <v>331.35</v>
      </c>
      <c r="K945" s="2" t="s">
        <v>21</v>
      </c>
      <c r="L945" s="2"/>
      <c r="M945" s="2">
        <v>5</v>
      </c>
      <c r="N945" s="2" t="s">
        <v>22</v>
      </c>
    </row>
    <row r="946" spans="1:14" x14ac:dyDescent="0.3">
      <c r="A946" s="2" t="s">
        <v>1564</v>
      </c>
      <c r="B946" s="2" t="s">
        <v>1448</v>
      </c>
      <c r="C946" s="2" t="s">
        <v>68</v>
      </c>
      <c r="D946" s="2" t="s">
        <v>33</v>
      </c>
      <c r="E946" s="2"/>
      <c r="F946" s="2" t="s">
        <v>35</v>
      </c>
      <c r="G946" s="2" t="s">
        <v>44</v>
      </c>
      <c r="H946" s="2">
        <v>237.95</v>
      </c>
      <c r="I946" s="2">
        <v>186.14</v>
      </c>
      <c r="J946" s="2">
        <v>51.81</v>
      </c>
      <c r="K946" s="2" t="s">
        <v>56</v>
      </c>
      <c r="L946" s="2">
        <v>8</v>
      </c>
      <c r="M946" s="2">
        <v>2</v>
      </c>
      <c r="N946" s="2" t="s">
        <v>29</v>
      </c>
    </row>
    <row r="947" spans="1:14" x14ac:dyDescent="0.3">
      <c r="A947" s="2" t="s">
        <v>1565</v>
      </c>
      <c r="B947" s="2" t="s">
        <v>1566</v>
      </c>
      <c r="C947" s="2" t="s">
        <v>16</v>
      </c>
      <c r="D947" s="2" t="s">
        <v>33</v>
      </c>
      <c r="E947" s="2" t="s">
        <v>119</v>
      </c>
      <c r="F947" s="2" t="s">
        <v>27</v>
      </c>
      <c r="G947" s="2" t="s">
        <v>44</v>
      </c>
      <c r="H947" s="2">
        <v>3187.93</v>
      </c>
      <c r="I947" s="2">
        <v>2529.7199999999998</v>
      </c>
      <c r="J947" s="2">
        <v>658.21</v>
      </c>
      <c r="K947" s="2" t="s">
        <v>21</v>
      </c>
      <c r="L947" s="2"/>
      <c r="M947" s="2">
        <v>2</v>
      </c>
      <c r="N947" s="2" t="s">
        <v>22</v>
      </c>
    </row>
    <row r="948" spans="1:14" x14ac:dyDescent="0.3">
      <c r="A948" s="2" t="s">
        <v>1098</v>
      </c>
      <c r="B948" s="2" t="s">
        <v>486</v>
      </c>
      <c r="C948" s="2" t="s">
        <v>115</v>
      </c>
      <c r="D948" s="2" t="s">
        <v>59</v>
      </c>
      <c r="E948" s="2" t="s">
        <v>308</v>
      </c>
      <c r="F948" s="2" t="s">
        <v>19</v>
      </c>
      <c r="G948" s="2" t="s">
        <v>36</v>
      </c>
      <c r="H948" s="2">
        <v>2776.61</v>
      </c>
      <c r="I948" s="2">
        <v>2099.0100000000002</v>
      </c>
      <c r="J948" s="2">
        <v>677.6</v>
      </c>
      <c r="K948" s="2" t="s">
        <v>21</v>
      </c>
      <c r="L948" s="2"/>
      <c r="M948" s="2">
        <v>4</v>
      </c>
      <c r="N948" s="2" t="s">
        <v>22</v>
      </c>
    </row>
    <row r="949" spans="1:14" x14ac:dyDescent="0.3">
      <c r="A949" s="2" t="s">
        <v>1567</v>
      </c>
      <c r="B949" s="2" t="s">
        <v>1568</v>
      </c>
      <c r="C949" s="2" t="s">
        <v>64</v>
      </c>
      <c r="D949" s="2" t="s">
        <v>7</v>
      </c>
      <c r="E949" s="2" t="s">
        <v>55</v>
      </c>
      <c r="F949" s="2" t="s">
        <v>84</v>
      </c>
      <c r="G949" s="2" t="s">
        <v>20</v>
      </c>
      <c r="H949" s="2">
        <v>1678.28</v>
      </c>
      <c r="I949" s="2">
        <v>1078.1400000000001</v>
      </c>
      <c r="J949" s="2">
        <v>600.14</v>
      </c>
      <c r="K949" s="2" t="s">
        <v>21</v>
      </c>
      <c r="L949" s="2"/>
      <c r="M949" s="2">
        <v>5</v>
      </c>
      <c r="N949" s="2" t="s">
        <v>22</v>
      </c>
    </row>
    <row r="950" spans="1:14" x14ac:dyDescent="0.3">
      <c r="A950" s="2" t="s">
        <v>1569</v>
      </c>
      <c r="B950" s="2" t="s">
        <v>1320</v>
      </c>
      <c r="C950" s="2" t="s">
        <v>68</v>
      </c>
      <c r="D950" s="2" t="s">
        <v>17</v>
      </c>
      <c r="E950" s="2" t="s">
        <v>18</v>
      </c>
      <c r="F950" s="2" t="s">
        <v>19</v>
      </c>
      <c r="G950" s="2" t="s">
        <v>20</v>
      </c>
      <c r="H950" s="2">
        <v>1151.17</v>
      </c>
      <c r="I950" s="2">
        <v>690.7</v>
      </c>
      <c r="J950" s="2">
        <v>460.47</v>
      </c>
      <c r="K950" s="2" t="s">
        <v>21</v>
      </c>
      <c r="L950" s="2"/>
      <c r="M950" s="2">
        <v>4</v>
      </c>
      <c r="N950" s="2" t="s">
        <v>22</v>
      </c>
    </row>
    <row r="951" spans="1:14" x14ac:dyDescent="0.3">
      <c r="A951" s="2" t="s">
        <v>1570</v>
      </c>
      <c r="B951" s="2" t="s">
        <v>1571</v>
      </c>
      <c r="C951" s="2" t="s">
        <v>32</v>
      </c>
      <c r="D951" s="2" t="s">
        <v>42</v>
      </c>
      <c r="E951" s="2" t="s">
        <v>43</v>
      </c>
      <c r="F951" s="2" t="s">
        <v>84</v>
      </c>
      <c r="G951" s="2" t="s">
        <v>73</v>
      </c>
      <c r="H951" s="2">
        <v>3349.55</v>
      </c>
      <c r="I951" s="2">
        <v>2542.4</v>
      </c>
      <c r="J951" s="2">
        <v>807.15</v>
      </c>
      <c r="K951" s="2" t="s">
        <v>21</v>
      </c>
      <c r="L951" s="2"/>
      <c r="M951" s="2">
        <v>3</v>
      </c>
      <c r="N951" s="2" t="s">
        <v>29</v>
      </c>
    </row>
    <row r="952" spans="1:14" x14ac:dyDescent="0.3">
      <c r="A952" s="2" t="s">
        <v>470</v>
      </c>
      <c r="B952" s="2" t="s">
        <v>471</v>
      </c>
      <c r="C952" s="2" t="s">
        <v>25</v>
      </c>
      <c r="D952" s="2" t="s">
        <v>42</v>
      </c>
      <c r="E952" s="2" t="s">
        <v>214</v>
      </c>
      <c r="F952" s="2" t="s">
        <v>19</v>
      </c>
      <c r="G952" s="2" t="s">
        <v>36</v>
      </c>
      <c r="H952" s="2">
        <v>1518.77</v>
      </c>
      <c r="I952" s="2">
        <v>1386.85</v>
      </c>
      <c r="J952" s="2">
        <v>131.91999999999999</v>
      </c>
      <c r="K952" s="2" t="s">
        <v>21</v>
      </c>
      <c r="L952" s="2"/>
      <c r="M952" s="2">
        <v>5</v>
      </c>
      <c r="N952" s="2" t="s">
        <v>29</v>
      </c>
    </row>
    <row r="953" spans="1:14" x14ac:dyDescent="0.3">
      <c r="A953" s="2" t="s">
        <v>1572</v>
      </c>
      <c r="B953" s="2" t="s">
        <v>1573</v>
      </c>
      <c r="C953" s="2" t="s">
        <v>68</v>
      </c>
      <c r="D953" s="2" t="s">
        <v>17</v>
      </c>
      <c r="E953" s="2" t="s">
        <v>26</v>
      </c>
      <c r="F953" s="2" t="s">
        <v>87</v>
      </c>
      <c r="G953" s="2" t="s">
        <v>73</v>
      </c>
      <c r="H953" s="2">
        <v>955.58</v>
      </c>
      <c r="I953" s="2">
        <v>724.96</v>
      </c>
      <c r="J953" s="2">
        <v>230.62</v>
      </c>
      <c r="K953" s="2" t="s">
        <v>21</v>
      </c>
      <c r="L953" s="2"/>
      <c r="M953" s="2">
        <v>4</v>
      </c>
      <c r="N953" s="2" t="s">
        <v>22</v>
      </c>
    </row>
    <row r="954" spans="1:14" x14ac:dyDescent="0.3">
      <c r="A954" s="2" t="s">
        <v>1574</v>
      </c>
      <c r="B954" s="2" t="s">
        <v>433</v>
      </c>
      <c r="C954" s="2" t="s">
        <v>68</v>
      </c>
      <c r="D954" s="2" t="s">
        <v>33</v>
      </c>
      <c r="E954" s="2" t="s">
        <v>297</v>
      </c>
      <c r="F954" s="2" t="s">
        <v>87</v>
      </c>
      <c r="G954" s="2" t="s">
        <v>28</v>
      </c>
      <c r="H954" s="2">
        <v>3282.95</v>
      </c>
      <c r="I954" s="2">
        <v>2519.91</v>
      </c>
      <c r="J954" s="2">
        <v>763.04</v>
      </c>
      <c r="K954" s="2" t="s">
        <v>21</v>
      </c>
      <c r="L954" s="2"/>
      <c r="M954" s="2">
        <v>3</v>
      </c>
      <c r="N954" s="2" t="s">
        <v>22</v>
      </c>
    </row>
    <row r="955" spans="1:14" x14ac:dyDescent="0.3">
      <c r="A955" s="2" t="s">
        <v>1575</v>
      </c>
      <c r="B955" s="2" t="s">
        <v>1576</v>
      </c>
      <c r="C955" s="2" t="s">
        <v>25</v>
      </c>
      <c r="D955" s="2" t="s">
        <v>7</v>
      </c>
      <c r="E955" s="2" t="s">
        <v>128</v>
      </c>
      <c r="F955" s="2" t="s">
        <v>19</v>
      </c>
      <c r="G955" s="2" t="s">
        <v>36</v>
      </c>
      <c r="H955" s="2">
        <v>1169.6199999999999</v>
      </c>
      <c r="I955" s="2">
        <v>787.34</v>
      </c>
      <c r="J955" s="2">
        <v>382.28</v>
      </c>
      <c r="K955" s="2" t="s">
        <v>21</v>
      </c>
      <c r="L955" s="2"/>
      <c r="M955" s="2">
        <v>4</v>
      </c>
      <c r="N955" s="2" t="s">
        <v>22</v>
      </c>
    </row>
    <row r="956" spans="1:14" x14ac:dyDescent="0.3">
      <c r="A956" s="2" t="s">
        <v>1577</v>
      </c>
      <c r="B956" s="2" t="s">
        <v>1578</v>
      </c>
      <c r="C956" s="2" t="s">
        <v>32</v>
      </c>
      <c r="D956" s="2" t="s">
        <v>42</v>
      </c>
      <c r="E956" s="2" t="s">
        <v>214</v>
      </c>
      <c r="F956" s="2" t="s">
        <v>27</v>
      </c>
      <c r="G956" s="2" t="s">
        <v>28</v>
      </c>
      <c r="H956" s="2">
        <v>3416.28</v>
      </c>
      <c r="I956" s="2">
        <v>2841.01</v>
      </c>
      <c r="J956" s="2">
        <v>575.27</v>
      </c>
      <c r="K956" s="2" t="s">
        <v>21</v>
      </c>
      <c r="L956" s="2"/>
      <c r="M956" s="2">
        <v>3</v>
      </c>
      <c r="N956" s="2" t="s">
        <v>22</v>
      </c>
    </row>
    <row r="957" spans="1:14" x14ac:dyDescent="0.3">
      <c r="A957" s="2" t="s">
        <v>1579</v>
      </c>
      <c r="B957" s="2" t="s">
        <v>433</v>
      </c>
      <c r="C957" s="2" t="s">
        <v>68</v>
      </c>
      <c r="D957" s="2" t="s">
        <v>33</v>
      </c>
      <c r="E957" s="2" t="s">
        <v>93</v>
      </c>
      <c r="F957" s="2" t="s">
        <v>19</v>
      </c>
      <c r="G957" s="2" t="s">
        <v>73</v>
      </c>
      <c r="H957" s="2">
        <v>3252.59</v>
      </c>
      <c r="I957" s="2">
        <v>1995.54</v>
      </c>
      <c r="J957" s="2">
        <v>1257.05</v>
      </c>
      <c r="K957" s="2" t="s">
        <v>21</v>
      </c>
      <c r="L957" s="2"/>
      <c r="M957" s="2">
        <v>5</v>
      </c>
      <c r="N957" s="2" t="s">
        <v>22</v>
      </c>
    </row>
    <row r="958" spans="1:14" x14ac:dyDescent="0.3">
      <c r="A958" s="2" t="s">
        <v>1580</v>
      </c>
      <c r="B958" s="2" t="s">
        <v>988</v>
      </c>
      <c r="C958" s="2" t="s">
        <v>54</v>
      </c>
      <c r="D958" s="2" t="s">
        <v>59</v>
      </c>
      <c r="E958" s="2" t="s">
        <v>60</v>
      </c>
      <c r="F958" s="2" t="s">
        <v>19</v>
      </c>
      <c r="G958" s="2" t="s">
        <v>20</v>
      </c>
      <c r="H958" s="2">
        <v>1693.3</v>
      </c>
      <c r="I958" s="2">
        <v>1098.1300000000001</v>
      </c>
      <c r="J958" s="2">
        <v>595.16999999999996</v>
      </c>
      <c r="K958" s="2" t="s">
        <v>21</v>
      </c>
      <c r="L958" s="2"/>
      <c r="M958" s="2">
        <v>4</v>
      </c>
      <c r="N958" s="2" t="s">
        <v>22</v>
      </c>
    </row>
    <row r="959" spans="1:14" x14ac:dyDescent="0.3">
      <c r="A959" s="2" t="s">
        <v>1581</v>
      </c>
      <c r="B959" s="2" t="s">
        <v>1582</v>
      </c>
      <c r="C959" s="2" t="s">
        <v>25</v>
      </c>
      <c r="D959" s="2" t="s">
        <v>42</v>
      </c>
      <c r="E959" s="2" t="s">
        <v>47</v>
      </c>
      <c r="F959" s="2" t="s">
        <v>27</v>
      </c>
      <c r="G959" s="2" t="s">
        <v>28</v>
      </c>
      <c r="H959" s="2">
        <v>2861.75</v>
      </c>
      <c r="I959" s="2">
        <v>2267.17</v>
      </c>
      <c r="J959" s="2">
        <v>594.58000000000004</v>
      </c>
      <c r="K959" s="2" t="s">
        <v>56</v>
      </c>
      <c r="L959" s="2">
        <v>6</v>
      </c>
      <c r="M959" s="2">
        <v>3</v>
      </c>
      <c r="N959" s="2" t="s">
        <v>22</v>
      </c>
    </row>
    <row r="960" spans="1:14" x14ac:dyDescent="0.3">
      <c r="A960" s="2" t="s">
        <v>1583</v>
      </c>
      <c r="B960" s="2" t="s">
        <v>1448</v>
      </c>
      <c r="C960" s="2" t="s">
        <v>68</v>
      </c>
      <c r="D960" s="2" t="s">
        <v>7</v>
      </c>
      <c r="E960" s="2" t="s">
        <v>128</v>
      </c>
      <c r="F960" s="2" t="s">
        <v>35</v>
      </c>
      <c r="G960" s="2" t="s">
        <v>36</v>
      </c>
      <c r="H960" s="2">
        <v>3970.82</v>
      </c>
      <c r="I960" s="2">
        <v>2976.72</v>
      </c>
      <c r="J960" s="2">
        <v>994.1</v>
      </c>
      <c r="K960" s="2" t="s">
        <v>21</v>
      </c>
      <c r="L960" s="2"/>
      <c r="M960" s="2">
        <v>5</v>
      </c>
      <c r="N960" s="2" t="s">
        <v>22</v>
      </c>
    </row>
    <row r="961" spans="1:14" x14ac:dyDescent="0.3">
      <c r="A961" s="2" t="s">
        <v>886</v>
      </c>
      <c r="B961" s="2" t="s">
        <v>571</v>
      </c>
      <c r="C961" s="2" t="s">
        <v>179</v>
      </c>
      <c r="D961" s="2" t="s">
        <v>59</v>
      </c>
      <c r="E961" s="2" t="s">
        <v>490</v>
      </c>
      <c r="F961" s="2" t="s">
        <v>19</v>
      </c>
      <c r="G961" s="2" t="s">
        <v>28</v>
      </c>
      <c r="H961" s="2">
        <v>1745.61</v>
      </c>
      <c r="I961" s="2">
        <v>1351.76</v>
      </c>
      <c r="J961" s="2">
        <v>393.85</v>
      </c>
      <c r="K961" s="2" t="s">
        <v>21</v>
      </c>
      <c r="L961" s="2"/>
      <c r="M961" s="2">
        <v>5</v>
      </c>
      <c r="N961" s="2" t="s">
        <v>22</v>
      </c>
    </row>
    <row r="962" spans="1:14" x14ac:dyDescent="0.3">
      <c r="A962" s="2" t="s">
        <v>1584</v>
      </c>
      <c r="B962" s="2" t="s">
        <v>1088</v>
      </c>
      <c r="C962" s="2" t="s">
        <v>104</v>
      </c>
      <c r="D962" s="2" t="s">
        <v>42</v>
      </c>
      <c r="E962" s="2" t="s">
        <v>262</v>
      </c>
      <c r="F962" s="2" t="s">
        <v>87</v>
      </c>
      <c r="G962" s="2" t="s">
        <v>73</v>
      </c>
      <c r="H962" s="2">
        <v>1249.31</v>
      </c>
      <c r="I962" s="2">
        <v>1014.37</v>
      </c>
      <c r="J962" s="2">
        <v>234.94</v>
      </c>
      <c r="K962" s="2" t="s">
        <v>21</v>
      </c>
      <c r="L962" s="2"/>
      <c r="M962" s="2">
        <v>2</v>
      </c>
      <c r="N962" s="2" t="s">
        <v>22</v>
      </c>
    </row>
    <row r="963" spans="1:14" x14ac:dyDescent="0.3">
      <c r="A963" s="2" t="s">
        <v>1585</v>
      </c>
      <c r="B963" s="2" t="s">
        <v>1586</v>
      </c>
      <c r="C963" s="2" t="s">
        <v>76</v>
      </c>
      <c r="D963" s="2" t="s">
        <v>17</v>
      </c>
      <c r="E963" s="2" t="s">
        <v>226</v>
      </c>
      <c r="F963" s="2" t="s">
        <v>19</v>
      </c>
      <c r="G963" s="2" t="s">
        <v>73</v>
      </c>
      <c r="H963" s="2">
        <v>1197.1500000000001</v>
      </c>
      <c r="I963" s="2">
        <v>873.43</v>
      </c>
      <c r="J963" s="2">
        <v>323.72000000000003</v>
      </c>
      <c r="K963" s="2" t="s">
        <v>21</v>
      </c>
      <c r="L963" s="2"/>
      <c r="M963" s="2">
        <v>4</v>
      </c>
      <c r="N963" s="2" t="s">
        <v>22</v>
      </c>
    </row>
    <row r="964" spans="1:14" x14ac:dyDescent="0.3">
      <c r="A964" s="2" t="s">
        <v>1587</v>
      </c>
      <c r="B964" s="2" t="s">
        <v>667</v>
      </c>
      <c r="C964" s="2" t="s">
        <v>104</v>
      </c>
      <c r="D964" s="2" t="s">
        <v>42</v>
      </c>
      <c r="E964" s="2" t="s">
        <v>47</v>
      </c>
      <c r="F964" s="2" t="s">
        <v>35</v>
      </c>
      <c r="G964" s="2" t="s">
        <v>28</v>
      </c>
      <c r="H964" s="2">
        <v>981.56</v>
      </c>
      <c r="I964" s="2">
        <v>768.29</v>
      </c>
      <c r="J964" s="2">
        <v>213.27</v>
      </c>
      <c r="K964" s="2" t="s">
        <v>56</v>
      </c>
      <c r="L964" s="2">
        <v>8</v>
      </c>
      <c r="M964" s="2">
        <v>3</v>
      </c>
      <c r="N964" s="2" t="s">
        <v>22</v>
      </c>
    </row>
    <row r="965" spans="1:14" x14ac:dyDescent="0.3">
      <c r="A965" s="2" t="s">
        <v>1588</v>
      </c>
      <c r="B965" s="2" t="s">
        <v>1589</v>
      </c>
      <c r="C965" s="2" t="s">
        <v>111</v>
      </c>
      <c r="D965" s="2" t="s">
        <v>7</v>
      </c>
      <c r="E965" s="2" t="s">
        <v>65</v>
      </c>
      <c r="F965" s="2" t="s">
        <v>87</v>
      </c>
      <c r="G965" s="2" t="s">
        <v>20</v>
      </c>
      <c r="H965" s="2">
        <v>1298.71</v>
      </c>
      <c r="I965" s="2">
        <v>949.8</v>
      </c>
      <c r="J965" s="2">
        <v>348.91</v>
      </c>
      <c r="K965" s="2" t="s">
        <v>21</v>
      </c>
      <c r="L965" s="2"/>
      <c r="M965" s="2">
        <v>3</v>
      </c>
      <c r="N965" s="2" t="s">
        <v>22</v>
      </c>
    </row>
    <row r="966" spans="1:14" x14ac:dyDescent="0.3">
      <c r="A966" s="2" t="s">
        <v>1590</v>
      </c>
      <c r="B966" s="2" t="s">
        <v>1591</v>
      </c>
      <c r="C966" s="2" t="s">
        <v>115</v>
      </c>
      <c r="D966" s="2" t="s">
        <v>42</v>
      </c>
      <c r="E966" s="2" t="s">
        <v>80</v>
      </c>
      <c r="F966" s="2" t="s">
        <v>19</v>
      </c>
      <c r="G966" s="2" t="s">
        <v>44</v>
      </c>
      <c r="H966" s="2">
        <v>1753.76</v>
      </c>
      <c r="I966" s="2">
        <v>1265.8499999999999</v>
      </c>
      <c r="J966" s="2">
        <v>487.91</v>
      </c>
      <c r="K966" s="2" t="s">
        <v>21</v>
      </c>
      <c r="L966" s="2"/>
      <c r="M966" s="2">
        <v>5</v>
      </c>
      <c r="N966" s="2" t="s">
        <v>29</v>
      </c>
    </row>
    <row r="967" spans="1:14" x14ac:dyDescent="0.3">
      <c r="A967" s="2" t="s">
        <v>1592</v>
      </c>
      <c r="B967" s="2" t="s">
        <v>349</v>
      </c>
      <c r="C967" s="2" t="s">
        <v>54</v>
      </c>
      <c r="D967" s="2" t="s">
        <v>42</v>
      </c>
      <c r="E967" s="2"/>
      <c r="F967" s="2" t="s">
        <v>27</v>
      </c>
      <c r="G967" s="2" t="s">
        <v>44</v>
      </c>
      <c r="H967" s="2">
        <v>3253.99</v>
      </c>
      <c r="I967" s="2">
        <v>2690.39</v>
      </c>
      <c r="J967" s="2">
        <v>563.6</v>
      </c>
      <c r="K967" s="2" t="s">
        <v>21</v>
      </c>
      <c r="L967" s="2"/>
      <c r="M967" s="2">
        <v>5</v>
      </c>
      <c r="N967" s="2" t="s">
        <v>29</v>
      </c>
    </row>
    <row r="968" spans="1:14" x14ac:dyDescent="0.3">
      <c r="A968" s="2" t="s">
        <v>1593</v>
      </c>
      <c r="B968" s="2" t="s">
        <v>519</v>
      </c>
      <c r="C968" s="2" t="s">
        <v>68</v>
      </c>
      <c r="D968" s="2" t="s">
        <v>42</v>
      </c>
      <c r="E968" s="2" t="s">
        <v>43</v>
      </c>
      <c r="F968" s="2" t="s">
        <v>19</v>
      </c>
      <c r="G968" s="2" t="s">
        <v>20</v>
      </c>
      <c r="H968" s="2">
        <v>2256.84</v>
      </c>
      <c r="I968" s="2">
        <v>1653.63</v>
      </c>
      <c r="J968" s="2">
        <v>603.21</v>
      </c>
      <c r="K968" s="2" t="s">
        <v>101</v>
      </c>
      <c r="L968" s="2">
        <v>8</v>
      </c>
      <c r="M968" s="2">
        <v>1</v>
      </c>
      <c r="N968" s="2" t="s">
        <v>29</v>
      </c>
    </row>
    <row r="969" spans="1:14" x14ac:dyDescent="0.3">
      <c r="A969" s="2" t="s">
        <v>1594</v>
      </c>
      <c r="B969" s="2" t="s">
        <v>1595</v>
      </c>
      <c r="C969" s="2" t="s">
        <v>76</v>
      </c>
      <c r="D969" s="2" t="s">
        <v>17</v>
      </c>
      <c r="E969" s="2" t="s">
        <v>72</v>
      </c>
      <c r="F969" s="2" t="s">
        <v>19</v>
      </c>
      <c r="G969" s="2" t="s">
        <v>44</v>
      </c>
      <c r="H969" s="2">
        <v>2404.5</v>
      </c>
      <c r="I969" s="2">
        <v>1476.18</v>
      </c>
      <c r="J969" s="2">
        <v>928.32</v>
      </c>
      <c r="K969" s="2" t="s">
        <v>21</v>
      </c>
      <c r="L969" s="2"/>
      <c r="M969" s="2">
        <v>3</v>
      </c>
      <c r="N969" s="2" t="s">
        <v>22</v>
      </c>
    </row>
    <row r="970" spans="1:14" x14ac:dyDescent="0.3">
      <c r="A970" s="2" t="s">
        <v>1596</v>
      </c>
      <c r="B970" s="2" t="s">
        <v>435</v>
      </c>
      <c r="C970" s="2" t="s">
        <v>635</v>
      </c>
      <c r="D970" s="2" t="s">
        <v>7</v>
      </c>
      <c r="E970" s="2" t="s">
        <v>134</v>
      </c>
      <c r="F970" s="2" t="s">
        <v>40</v>
      </c>
      <c r="G970" s="2" t="s">
        <v>20</v>
      </c>
      <c r="H970" s="2">
        <v>2676.41</v>
      </c>
      <c r="I970" s="2">
        <v>1622.98</v>
      </c>
      <c r="J970" s="2">
        <v>1053.43</v>
      </c>
      <c r="K970" s="2" t="s">
        <v>21</v>
      </c>
      <c r="L970" s="2"/>
      <c r="M970" s="2">
        <v>4</v>
      </c>
      <c r="N970" s="2" t="s">
        <v>22</v>
      </c>
    </row>
    <row r="971" spans="1:14" x14ac:dyDescent="0.3">
      <c r="A971" s="2" t="s">
        <v>1597</v>
      </c>
      <c r="B971" s="2" t="s">
        <v>591</v>
      </c>
      <c r="C971" s="2" t="s">
        <v>111</v>
      </c>
      <c r="D971" s="2" t="s">
        <v>17</v>
      </c>
      <c r="E971" s="2" t="s">
        <v>51</v>
      </c>
      <c r="F971" s="2" t="s">
        <v>27</v>
      </c>
      <c r="G971" s="2" t="s">
        <v>20</v>
      </c>
      <c r="H971" s="2">
        <v>1534.49</v>
      </c>
      <c r="I971" s="2">
        <v>1130.5</v>
      </c>
      <c r="J971" s="2">
        <v>403.99</v>
      </c>
      <c r="K971" s="2" t="s">
        <v>21</v>
      </c>
      <c r="L971" s="2"/>
      <c r="M971" s="2">
        <v>5</v>
      </c>
      <c r="N971" s="2" t="s">
        <v>29</v>
      </c>
    </row>
    <row r="972" spans="1:14" x14ac:dyDescent="0.3">
      <c r="A972" s="2" t="s">
        <v>1598</v>
      </c>
      <c r="B972" s="2" t="s">
        <v>380</v>
      </c>
      <c r="C972" s="2" t="s">
        <v>104</v>
      </c>
      <c r="D972" s="2" t="s">
        <v>7</v>
      </c>
      <c r="E972" s="2" t="s">
        <v>182</v>
      </c>
      <c r="F972" s="2" t="s">
        <v>19</v>
      </c>
      <c r="G972" s="2" t="s">
        <v>44</v>
      </c>
      <c r="H972" s="2">
        <v>2362.4299999999998</v>
      </c>
      <c r="I972" s="2">
        <v>1392.1</v>
      </c>
      <c r="J972" s="2">
        <v>970.33</v>
      </c>
      <c r="K972" s="2" t="s">
        <v>21</v>
      </c>
      <c r="L972" s="2"/>
      <c r="M972" s="2">
        <v>4</v>
      </c>
      <c r="N972" s="2" t="s">
        <v>22</v>
      </c>
    </row>
    <row r="973" spans="1:14" x14ac:dyDescent="0.3">
      <c r="A973" s="2" t="s">
        <v>1599</v>
      </c>
      <c r="B973" s="2" t="s">
        <v>1571</v>
      </c>
      <c r="C973" s="2" t="s">
        <v>32</v>
      </c>
      <c r="D973" s="2" t="s">
        <v>42</v>
      </c>
      <c r="E973" s="2" t="s">
        <v>47</v>
      </c>
      <c r="F973" s="2"/>
      <c r="G973" s="2" t="s">
        <v>28</v>
      </c>
      <c r="H973" s="2">
        <v>3398.28</v>
      </c>
      <c r="I973" s="2">
        <v>2953.88</v>
      </c>
      <c r="J973" s="2">
        <v>444.4</v>
      </c>
      <c r="K973" s="2" t="s">
        <v>56</v>
      </c>
      <c r="L973" s="2">
        <v>10</v>
      </c>
      <c r="M973" s="2">
        <v>3</v>
      </c>
      <c r="N973" s="2" t="s">
        <v>29</v>
      </c>
    </row>
    <row r="974" spans="1:14" x14ac:dyDescent="0.3">
      <c r="A974" s="2" t="s">
        <v>1600</v>
      </c>
      <c r="B974" s="2" t="s">
        <v>1325</v>
      </c>
      <c r="C974" s="2" t="s">
        <v>124</v>
      </c>
      <c r="D974" s="2" t="s">
        <v>59</v>
      </c>
      <c r="E974" s="2" t="s">
        <v>308</v>
      </c>
      <c r="F974" s="2" t="s">
        <v>84</v>
      </c>
      <c r="G974" s="2" t="s">
        <v>20</v>
      </c>
      <c r="H974" s="2">
        <v>1604.4</v>
      </c>
      <c r="I974" s="2">
        <v>1222.48</v>
      </c>
      <c r="J974" s="2">
        <v>381.92</v>
      </c>
      <c r="K974" s="2" t="s">
        <v>21</v>
      </c>
      <c r="L974" s="2"/>
      <c r="M974" s="2">
        <v>5</v>
      </c>
      <c r="N974" s="2" t="s">
        <v>22</v>
      </c>
    </row>
    <row r="975" spans="1:14" x14ac:dyDescent="0.3">
      <c r="A975" s="2" t="s">
        <v>1601</v>
      </c>
      <c r="B975" s="2" t="s">
        <v>431</v>
      </c>
      <c r="C975" s="2" t="s">
        <v>64</v>
      </c>
      <c r="D975" s="2" t="s">
        <v>7</v>
      </c>
      <c r="E975" s="2" t="s">
        <v>65</v>
      </c>
      <c r="F975" s="2" t="s">
        <v>27</v>
      </c>
      <c r="G975" s="2" t="s">
        <v>36</v>
      </c>
      <c r="H975" s="2">
        <v>3635.49</v>
      </c>
      <c r="I975" s="2">
        <v>2434.6999999999998</v>
      </c>
      <c r="J975" s="2">
        <v>1200.79</v>
      </c>
      <c r="K975" s="2" t="s">
        <v>21</v>
      </c>
      <c r="L975" s="2"/>
      <c r="M975" s="2">
        <v>4</v>
      </c>
      <c r="N975" s="2" t="s">
        <v>22</v>
      </c>
    </row>
    <row r="976" spans="1:14" x14ac:dyDescent="0.3">
      <c r="A976" s="2" t="s">
        <v>1602</v>
      </c>
      <c r="B976" s="2" t="s">
        <v>1603</v>
      </c>
      <c r="C976" s="2" t="s">
        <v>124</v>
      </c>
      <c r="D976" s="2" t="s">
        <v>33</v>
      </c>
      <c r="E976" s="2" t="s">
        <v>39</v>
      </c>
      <c r="F976" s="2" t="s">
        <v>40</v>
      </c>
      <c r="G976" s="2" t="s">
        <v>36</v>
      </c>
      <c r="H976" s="2">
        <v>636.37</v>
      </c>
      <c r="I976" s="2">
        <v>357.71</v>
      </c>
      <c r="J976" s="2">
        <v>278.66000000000003</v>
      </c>
      <c r="K976" s="2" t="s">
        <v>21</v>
      </c>
      <c r="L976" s="2"/>
      <c r="M976" s="2">
        <v>3</v>
      </c>
      <c r="N976" s="2" t="s">
        <v>22</v>
      </c>
    </row>
    <row r="977" spans="1:14" x14ac:dyDescent="0.3">
      <c r="A977" s="2" t="s">
        <v>1604</v>
      </c>
      <c r="B977" s="2" t="s">
        <v>289</v>
      </c>
      <c r="C977" s="2" t="s">
        <v>32</v>
      </c>
      <c r="D977" s="2" t="s">
        <v>59</v>
      </c>
      <c r="E977" s="2" t="s">
        <v>60</v>
      </c>
      <c r="F977" s="2" t="s">
        <v>35</v>
      </c>
      <c r="G977" s="2" t="s">
        <v>28</v>
      </c>
      <c r="H977" s="2">
        <v>295.11</v>
      </c>
      <c r="I977" s="2">
        <v>216.94</v>
      </c>
      <c r="J977" s="2">
        <v>78.17</v>
      </c>
      <c r="K977" s="2" t="s">
        <v>90</v>
      </c>
      <c r="L977" s="2">
        <v>3</v>
      </c>
      <c r="M977" s="2">
        <v>4</v>
      </c>
      <c r="N977" s="2" t="s">
        <v>22</v>
      </c>
    </row>
    <row r="978" spans="1:14" x14ac:dyDescent="0.3">
      <c r="A978" s="2" t="s">
        <v>1605</v>
      </c>
      <c r="B978" s="2" t="s">
        <v>1133</v>
      </c>
      <c r="C978" s="2" t="s">
        <v>115</v>
      </c>
      <c r="D978" s="2" t="s">
        <v>42</v>
      </c>
      <c r="E978" s="2" t="s">
        <v>77</v>
      </c>
      <c r="F978" s="2" t="s">
        <v>19</v>
      </c>
      <c r="G978" s="2" t="s">
        <v>73</v>
      </c>
      <c r="H978" s="2">
        <v>2603.6799999999998</v>
      </c>
      <c r="I978" s="2">
        <v>2122.52</v>
      </c>
      <c r="J978" s="2">
        <v>481.16</v>
      </c>
      <c r="K978" s="2" t="s">
        <v>56</v>
      </c>
      <c r="L978" s="2">
        <v>6</v>
      </c>
      <c r="M978" s="2">
        <v>3</v>
      </c>
      <c r="N978" s="2" t="s">
        <v>22</v>
      </c>
    </row>
    <row r="979" spans="1:14" x14ac:dyDescent="0.3">
      <c r="A979" s="2" t="s">
        <v>1606</v>
      </c>
      <c r="B979" s="2" t="s">
        <v>477</v>
      </c>
      <c r="C979" s="2" t="s">
        <v>64</v>
      </c>
      <c r="D979" s="2" t="s">
        <v>59</v>
      </c>
      <c r="E979" s="2" t="s">
        <v>108</v>
      </c>
      <c r="F979" s="2" t="s">
        <v>40</v>
      </c>
      <c r="G979" s="2" t="s">
        <v>36</v>
      </c>
      <c r="H979" s="2">
        <v>1007.99</v>
      </c>
      <c r="I979" s="2">
        <v>614.88</v>
      </c>
      <c r="J979" s="2">
        <v>393.11</v>
      </c>
      <c r="K979" s="2" t="s">
        <v>21</v>
      </c>
      <c r="L979" s="2"/>
      <c r="M979" s="2">
        <v>5</v>
      </c>
      <c r="N979" s="2" t="s">
        <v>22</v>
      </c>
    </row>
    <row r="980" spans="1:14" x14ac:dyDescent="0.3">
      <c r="A980" s="2" t="s">
        <v>1607</v>
      </c>
      <c r="B980" s="2" t="s">
        <v>1608</v>
      </c>
      <c r="C980" s="2" t="s">
        <v>179</v>
      </c>
      <c r="D980" s="2" t="s">
        <v>17</v>
      </c>
      <c r="E980" s="2" t="s">
        <v>96</v>
      </c>
      <c r="F980" s="2" t="s">
        <v>35</v>
      </c>
      <c r="G980" s="2" t="s">
        <v>44</v>
      </c>
      <c r="H980" s="2">
        <v>746.69</v>
      </c>
      <c r="I980" s="2">
        <v>488.74</v>
      </c>
      <c r="J980" s="2">
        <v>257.95</v>
      </c>
      <c r="K980" s="2" t="s">
        <v>21</v>
      </c>
      <c r="L980" s="2"/>
      <c r="M980" s="2">
        <v>4</v>
      </c>
      <c r="N980" s="2" t="s">
        <v>22</v>
      </c>
    </row>
    <row r="981" spans="1:14" x14ac:dyDescent="0.3">
      <c r="A981" s="2" t="s">
        <v>1609</v>
      </c>
      <c r="B981" s="2" t="s">
        <v>849</v>
      </c>
      <c r="C981" s="2" t="s">
        <v>179</v>
      </c>
      <c r="D981" s="2" t="s">
        <v>42</v>
      </c>
      <c r="E981" s="2" t="s">
        <v>47</v>
      </c>
      <c r="F981" s="2" t="s">
        <v>19</v>
      </c>
      <c r="G981" s="2" t="s">
        <v>20</v>
      </c>
      <c r="H981" s="2">
        <v>3123.31</v>
      </c>
      <c r="I981" s="2">
        <v>2513.0500000000002</v>
      </c>
      <c r="J981" s="2">
        <v>610.26</v>
      </c>
      <c r="K981" s="2" t="s">
        <v>21</v>
      </c>
      <c r="L981" s="2"/>
      <c r="M981" s="2">
        <v>4</v>
      </c>
      <c r="N981" s="2" t="s">
        <v>22</v>
      </c>
    </row>
    <row r="982" spans="1:14" x14ac:dyDescent="0.3">
      <c r="A982" s="2" t="s">
        <v>1610</v>
      </c>
      <c r="B982" s="2" t="s">
        <v>1611</v>
      </c>
      <c r="C982" s="2" t="s">
        <v>68</v>
      </c>
      <c r="D982" s="2" t="s">
        <v>33</v>
      </c>
      <c r="E982" s="2"/>
      <c r="F982" s="2" t="s">
        <v>27</v>
      </c>
      <c r="G982" s="2" t="s">
        <v>28</v>
      </c>
      <c r="H982" s="2">
        <v>2067.15</v>
      </c>
      <c r="I982" s="2">
        <v>1427.46</v>
      </c>
      <c r="J982" s="2">
        <v>639.69000000000005</v>
      </c>
      <c r="K982" s="2" t="s">
        <v>21</v>
      </c>
      <c r="L982" s="2"/>
      <c r="M982" s="2">
        <v>2</v>
      </c>
      <c r="N982" s="2" t="s">
        <v>22</v>
      </c>
    </row>
    <row r="983" spans="1:14" x14ac:dyDescent="0.3">
      <c r="A983" s="2" t="s">
        <v>1612</v>
      </c>
      <c r="B983" s="2" t="s">
        <v>223</v>
      </c>
      <c r="C983" s="2" t="s">
        <v>68</v>
      </c>
      <c r="D983" s="2" t="s">
        <v>33</v>
      </c>
      <c r="E983" s="2" t="s">
        <v>34</v>
      </c>
      <c r="F983" s="2" t="s">
        <v>19</v>
      </c>
      <c r="G983" s="2" t="s">
        <v>44</v>
      </c>
      <c r="H983" s="2">
        <v>3095.45</v>
      </c>
      <c r="I983" s="2">
        <v>2058.63</v>
      </c>
      <c r="J983" s="2">
        <v>1036.82</v>
      </c>
      <c r="K983" s="2" t="s">
        <v>21</v>
      </c>
      <c r="L983" s="2"/>
      <c r="M983" s="2">
        <v>5</v>
      </c>
      <c r="N983" s="2" t="s">
        <v>22</v>
      </c>
    </row>
    <row r="984" spans="1:14" x14ac:dyDescent="0.3">
      <c r="A984" s="2" t="s">
        <v>1613</v>
      </c>
      <c r="B984" s="2" t="s">
        <v>891</v>
      </c>
      <c r="C984" s="2" t="s">
        <v>111</v>
      </c>
      <c r="D984" s="2" t="s">
        <v>33</v>
      </c>
      <c r="E984" s="2" t="s">
        <v>205</v>
      </c>
      <c r="F984" s="2" t="s">
        <v>40</v>
      </c>
      <c r="G984" s="2" t="s">
        <v>36</v>
      </c>
      <c r="H984" s="2">
        <v>2193.87</v>
      </c>
      <c r="I984" s="2">
        <v>1427.73</v>
      </c>
      <c r="J984" s="2">
        <v>766.14</v>
      </c>
      <c r="K984" s="2" t="s">
        <v>21</v>
      </c>
      <c r="L984" s="2"/>
      <c r="M984" s="2">
        <v>3</v>
      </c>
      <c r="N984" s="2" t="s">
        <v>22</v>
      </c>
    </row>
    <row r="985" spans="1:14" x14ac:dyDescent="0.3">
      <c r="A985" s="2" t="s">
        <v>1614</v>
      </c>
      <c r="B985" s="2" t="s">
        <v>1615</v>
      </c>
      <c r="C985" s="2" t="s">
        <v>104</v>
      </c>
      <c r="D985" s="2" t="s">
        <v>42</v>
      </c>
      <c r="E985" s="2" t="s">
        <v>214</v>
      </c>
      <c r="F985" s="2" t="s">
        <v>87</v>
      </c>
      <c r="G985" s="2" t="s">
        <v>44</v>
      </c>
      <c r="H985" s="2">
        <v>1471.24</v>
      </c>
      <c r="I985" s="2">
        <v>1043.43</v>
      </c>
      <c r="J985" s="2">
        <v>427.81</v>
      </c>
      <c r="K985" s="2" t="s">
        <v>56</v>
      </c>
      <c r="L985" s="2">
        <v>13</v>
      </c>
      <c r="M985" s="2">
        <v>1</v>
      </c>
      <c r="N985" s="2" t="s">
        <v>22</v>
      </c>
    </row>
    <row r="986" spans="1:14" x14ac:dyDescent="0.3">
      <c r="A986" s="2" t="s">
        <v>1616</v>
      </c>
      <c r="B986" s="2" t="s">
        <v>638</v>
      </c>
      <c r="C986" s="2" t="s">
        <v>68</v>
      </c>
      <c r="D986" s="2" t="s">
        <v>42</v>
      </c>
      <c r="E986" s="2" t="s">
        <v>162</v>
      </c>
      <c r="F986" s="2" t="s">
        <v>40</v>
      </c>
      <c r="G986" s="2" t="s">
        <v>1535</v>
      </c>
      <c r="H986" s="2">
        <v>1532.47</v>
      </c>
      <c r="I986" s="2">
        <v>1213.1500000000001</v>
      </c>
      <c r="J986" s="2">
        <v>319.32</v>
      </c>
      <c r="K986" s="2" t="s">
        <v>21</v>
      </c>
      <c r="L986" s="2"/>
      <c r="M986" s="2">
        <v>4</v>
      </c>
      <c r="N986" s="2" t="s">
        <v>29</v>
      </c>
    </row>
    <row r="987" spans="1:14" x14ac:dyDescent="0.3">
      <c r="A987" s="2" t="s">
        <v>1617</v>
      </c>
      <c r="B987" s="2" t="s">
        <v>1155</v>
      </c>
      <c r="C987" s="2" t="s">
        <v>16</v>
      </c>
      <c r="D987" s="2" t="s">
        <v>59</v>
      </c>
      <c r="E987" s="2"/>
      <c r="F987" s="2" t="s">
        <v>35</v>
      </c>
      <c r="G987" s="2" t="s">
        <v>36</v>
      </c>
      <c r="H987" s="2">
        <v>995.08</v>
      </c>
      <c r="I987" s="2">
        <v>669.51</v>
      </c>
      <c r="J987" s="2">
        <v>325.57</v>
      </c>
      <c r="K987" s="2" t="s">
        <v>21</v>
      </c>
      <c r="L987" s="2"/>
      <c r="M987" s="2">
        <v>1</v>
      </c>
      <c r="N987" s="2" t="s">
        <v>22</v>
      </c>
    </row>
    <row r="988" spans="1:14" x14ac:dyDescent="0.3">
      <c r="A988" s="2" t="s">
        <v>1618</v>
      </c>
      <c r="B988" s="2" t="s">
        <v>1619</v>
      </c>
      <c r="C988" s="2" t="s">
        <v>32</v>
      </c>
      <c r="D988" s="2" t="s">
        <v>7</v>
      </c>
      <c r="E988" s="2" t="s">
        <v>131</v>
      </c>
      <c r="F988" s="2" t="s">
        <v>40</v>
      </c>
      <c r="G988" s="2" t="s">
        <v>73</v>
      </c>
      <c r="H988" s="2">
        <v>666.05</v>
      </c>
      <c r="I988" s="2">
        <v>445.12</v>
      </c>
      <c r="J988" s="2">
        <v>220.93</v>
      </c>
      <c r="K988" s="2" t="s">
        <v>21</v>
      </c>
      <c r="L988" s="2"/>
      <c r="M988" s="2">
        <v>4</v>
      </c>
      <c r="N988" s="2" t="s">
        <v>22</v>
      </c>
    </row>
    <row r="989" spans="1:14" x14ac:dyDescent="0.3">
      <c r="A989" s="2" t="s">
        <v>1620</v>
      </c>
      <c r="B989" s="2" t="s">
        <v>1550</v>
      </c>
      <c r="C989" s="2" t="s">
        <v>64</v>
      </c>
      <c r="D989" s="2" t="s">
        <v>42</v>
      </c>
      <c r="E989" s="2" t="s">
        <v>80</v>
      </c>
      <c r="F989" s="2" t="s">
        <v>27</v>
      </c>
      <c r="G989" s="2" t="s">
        <v>36</v>
      </c>
      <c r="H989" s="2">
        <v>1578.87</v>
      </c>
      <c r="I989" s="2">
        <v>1319.49</v>
      </c>
      <c r="J989" s="2">
        <v>259.38</v>
      </c>
      <c r="K989" s="2" t="s">
        <v>21</v>
      </c>
      <c r="L989" s="2"/>
      <c r="M989" s="2">
        <v>4</v>
      </c>
      <c r="N989" s="2" t="s">
        <v>22</v>
      </c>
    </row>
    <row r="990" spans="1:14" x14ac:dyDescent="0.3">
      <c r="A990" s="2" t="s">
        <v>1621</v>
      </c>
      <c r="B990" s="2" t="s">
        <v>221</v>
      </c>
      <c r="C990" s="2" t="s">
        <v>25</v>
      </c>
      <c r="D990" s="2" t="s">
        <v>33</v>
      </c>
      <c r="E990" s="2" t="s">
        <v>205</v>
      </c>
      <c r="F990" s="2" t="s">
        <v>35</v>
      </c>
      <c r="G990" s="2" t="s">
        <v>36</v>
      </c>
      <c r="H990" s="2">
        <v>1406.35</v>
      </c>
      <c r="I990" s="2">
        <v>845.72</v>
      </c>
      <c r="J990" s="2">
        <v>560.63</v>
      </c>
      <c r="K990" s="2" t="s">
        <v>21</v>
      </c>
      <c r="L990" s="2"/>
      <c r="M990" s="2">
        <v>4</v>
      </c>
      <c r="N990" s="2" t="s">
        <v>22</v>
      </c>
    </row>
    <row r="991" spans="1:14" x14ac:dyDescent="0.3">
      <c r="A991" s="2" t="s">
        <v>1622</v>
      </c>
      <c r="B991" s="2" t="s">
        <v>1623</v>
      </c>
      <c r="C991" s="2" t="s">
        <v>104</v>
      </c>
      <c r="D991" s="2" t="s">
        <v>59</v>
      </c>
      <c r="E991" s="2" t="s">
        <v>60</v>
      </c>
      <c r="F991" s="2" t="s">
        <v>87</v>
      </c>
      <c r="G991" s="2" t="s">
        <v>44</v>
      </c>
      <c r="H991" s="2">
        <v>2391.08</v>
      </c>
      <c r="I991" s="2">
        <v>1443.16</v>
      </c>
      <c r="J991" s="2">
        <v>947.92</v>
      </c>
      <c r="K991" s="2" t="s">
        <v>21</v>
      </c>
      <c r="L991" s="2"/>
      <c r="M991" s="2">
        <v>4</v>
      </c>
      <c r="N991" s="2" t="s">
        <v>22</v>
      </c>
    </row>
    <row r="992" spans="1:14" x14ac:dyDescent="0.3">
      <c r="A992" s="2" t="s">
        <v>1624</v>
      </c>
      <c r="B992" s="2" t="s">
        <v>1625</v>
      </c>
      <c r="C992" s="2" t="s">
        <v>64</v>
      </c>
      <c r="D992" s="2" t="s">
        <v>59</v>
      </c>
      <c r="E992" s="2" t="s">
        <v>301</v>
      </c>
      <c r="F992" s="2" t="s">
        <v>40</v>
      </c>
      <c r="G992" s="2" t="s">
        <v>73</v>
      </c>
      <c r="H992" s="2">
        <v>2424.31</v>
      </c>
      <c r="I992" s="2">
        <v>1365.11</v>
      </c>
      <c r="J992" s="2">
        <v>1059.2</v>
      </c>
      <c r="K992" s="2" t="s">
        <v>56</v>
      </c>
      <c r="L992" s="2">
        <v>7</v>
      </c>
      <c r="M992" s="2">
        <v>2</v>
      </c>
      <c r="N992" s="2" t="s">
        <v>22</v>
      </c>
    </row>
    <row r="993" spans="1:14" x14ac:dyDescent="0.3">
      <c r="A993" s="2" t="s">
        <v>1626</v>
      </c>
      <c r="B993" s="2" t="s">
        <v>782</v>
      </c>
      <c r="C993" s="2" t="s">
        <v>76</v>
      </c>
      <c r="D993" s="2" t="s">
        <v>17</v>
      </c>
      <c r="E993" s="2" t="s">
        <v>469</v>
      </c>
      <c r="F993" s="2" t="s">
        <v>87</v>
      </c>
      <c r="G993" s="2" t="s">
        <v>36</v>
      </c>
      <c r="H993" s="2">
        <v>2164.79</v>
      </c>
      <c r="I993" s="2">
        <v>1510.57</v>
      </c>
      <c r="J993" s="2">
        <v>654.22</v>
      </c>
      <c r="K993" s="2" t="s">
        <v>21</v>
      </c>
      <c r="L993" s="2"/>
      <c r="M993" s="2">
        <v>5</v>
      </c>
      <c r="N993" s="2" t="s">
        <v>22</v>
      </c>
    </row>
    <row r="994" spans="1:14" x14ac:dyDescent="0.3">
      <c r="A994" s="2" t="s">
        <v>1627</v>
      </c>
      <c r="B994" s="2" t="s">
        <v>1628</v>
      </c>
      <c r="C994" s="2" t="s">
        <v>64</v>
      </c>
      <c r="D994" s="2" t="s">
        <v>42</v>
      </c>
      <c r="E994" s="2" t="s">
        <v>214</v>
      </c>
      <c r="F994" s="2" t="s">
        <v>40</v>
      </c>
      <c r="G994" s="2" t="s">
        <v>36</v>
      </c>
      <c r="H994" s="2">
        <v>3752.52</v>
      </c>
      <c r="I994" s="2">
        <v>3167.37</v>
      </c>
      <c r="J994" s="2">
        <v>585.15</v>
      </c>
      <c r="K994" s="2" t="s">
        <v>56</v>
      </c>
      <c r="L994" s="2">
        <v>3</v>
      </c>
      <c r="M994" s="2">
        <v>2</v>
      </c>
      <c r="N994" s="2" t="s">
        <v>22</v>
      </c>
    </row>
    <row r="995" spans="1:14" x14ac:dyDescent="0.3">
      <c r="A995" s="2" t="s">
        <v>1629</v>
      </c>
      <c r="B995" s="2" t="s">
        <v>1630</v>
      </c>
      <c r="C995" s="2" t="s">
        <v>68</v>
      </c>
      <c r="D995" s="2" t="s">
        <v>42</v>
      </c>
      <c r="E995" s="2" t="s">
        <v>262</v>
      </c>
      <c r="F995" s="2" t="s">
        <v>40</v>
      </c>
      <c r="G995" s="2" t="s">
        <v>36</v>
      </c>
      <c r="H995" s="2">
        <v>4928.3599999999997</v>
      </c>
      <c r="I995" s="2">
        <v>4499.1099999999997</v>
      </c>
      <c r="J995" s="2">
        <v>429.25</v>
      </c>
      <c r="K995" s="2" t="s">
        <v>652</v>
      </c>
      <c r="L995" s="2"/>
      <c r="M995" s="2">
        <v>4</v>
      </c>
      <c r="N995" s="2" t="s">
        <v>29</v>
      </c>
    </row>
    <row r="996" spans="1:14" x14ac:dyDescent="0.3">
      <c r="A996" s="2" t="s">
        <v>1631</v>
      </c>
      <c r="B996" s="2" t="s">
        <v>239</v>
      </c>
      <c r="C996" s="2" t="s">
        <v>104</v>
      </c>
      <c r="D996" s="2" t="s">
        <v>42</v>
      </c>
      <c r="E996" s="2" t="s">
        <v>80</v>
      </c>
      <c r="F996" s="2" t="s">
        <v>84</v>
      </c>
      <c r="G996" s="2" t="s">
        <v>36</v>
      </c>
      <c r="H996" s="2">
        <v>2583.15</v>
      </c>
      <c r="I996" s="2">
        <v>2266.87</v>
      </c>
      <c r="J996" s="2">
        <v>316.27999999999997</v>
      </c>
      <c r="K996" s="2" t="s">
        <v>21</v>
      </c>
      <c r="L996" s="2"/>
      <c r="M996" s="2">
        <v>4</v>
      </c>
      <c r="N996" s="2" t="s">
        <v>22</v>
      </c>
    </row>
    <row r="997" spans="1:14" x14ac:dyDescent="0.3">
      <c r="A997" s="2" t="s">
        <v>1632</v>
      </c>
      <c r="B997" s="2" t="s">
        <v>1633</v>
      </c>
      <c r="C997" s="2" t="s">
        <v>179</v>
      </c>
      <c r="D997" s="2" t="s">
        <v>7</v>
      </c>
      <c r="E997" s="2" t="s">
        <v>134</v>
      </c>
      <c r="F997" s="2" t="s">
        <v>35</v>
      </c>
      <c r="G997" s="2" t="s">
        <v>28</v>
      </c>
      <c r="H997" s="2">
        <v>448.94</v>
      </c>
      <c r="I997" s="2">
        <v>259.57</v>
      </c>
      <c r="J997" s="2">
        <v>189.37</v>
      </c>
      <c r="K997" s="2" t="s">
        <v>56</v>
      </c>
      <c r="L997" s="2">
        <v>2</v>
      </c>
      <c r="M997" s="2">
        <v>3</v>
      </c>
      <c r="N997" s="2" t="s">
        <v>29</v>
      </c>
    </row>
    <row r="998" spans="1:14" x14ac:dyDescent="0.3">
      <c r="A998" s="2" t="s">
        <v>1634</v>
      </c>
      <c r="B998" s="2" t="s">
        <v>1499</v>
      </c>
      <c r="C998" s="2" t="s">
        <v>68</v>
      </c>
      <c r="D998" s="2" t="s">
        <v>59</v>
      </c>
      <c r="E998" s="2" t="s">
        <v>194</v>
      </c>
      <c r="F998" s="2" t="s">
        <v>87</v>
      </c>
      <c r="G998" s="2" t="s">
        <v>36</v>
      </c>
      <c r="H998" s="2">
        <v>1898.81</v>
      </c>
      <c r="I998" s="2">
        <v>1508.95</v>
      </c>
      <c r="J998" s="2">
        <v>389.86</v>
      </c>
      <c r="K998" s="2" t="s">
        <v>21</v>
      </c>
      <c r="L998" s="2"/>
      <c r="M998" s="2">
        <v>4</v>
      </c>
      <c r="N998" s="2" t="s">
        <v>22</v>
      </c>
    </row>
    <row r="999" spans="1:14" x14ac:dyDescent="0.3">
      <c r="A999" s="2" t="s">
        <v>1304</v>
      </c>
      <c r="B999" s="2" t="s">
        <v>1222</v>
      </c>
      <c r="C999" s="2" t="s">
        <v>124</v>
      </c>
      <c r="D999" s="2" t="s">
        <v>1115</v>
      </c>
      <c r="E999" s="2" t="s">
        <v>69</v>
      </c>
      <c r="F999" s="2" t="s">
        <v>84</v>
      </c>
      <c r="G999" s="2" t="s">
        <v>44</v>
      </c>
      <c r="H999" s="2">
        <v>2343.69</v>
      </c>
      <c r="I999" s="2">
        <v>1807.85</v>
      </c>
      <c r="J999" s="2">
        <v>535.84</v>
      </c>
      <c r="K999" s="2" t="s">
        <v>21</v>
      </c>
      <c r="L999" s="2"/>
      <c r="M999" s="2">
        <v>4</v>
      </c>
      <c r="N999" s="2" t="s">
        <v>29</v>
      </c>
    </row>
    <row r="1000" spans="1:14" x14ac:dyDescent="0.3">
      <c r="A1000" s="2" t="s">
        <v>1635</v>
      </c>
      <c r="B1000" s="2" t="s">
        <v>1636</v>
      </c>
      <c r="C1000" s="2" t="s">
        <v>54</v>
      </c>
      <c r="D1000" s="2" t="s">
        <v>33</v>
      </c>
      <c r="E1000" s="2" t="s">
        <v>297</v>
      </c>
      <c r="F1000" s="2" t="s">
        <v>84</v>
      </c>
      <c r="G1000" s="2" t="s">
        <v>73</v>
      </c>
      <c r="H1000" s="2">
        <v>497.15</v>
      </c>
      <c r="I1000" s="2">
        <v>392.26</v>
      </c>
      <c r="J1000" s="2">
        <v>104.89</v>
      </c>
      <c r="K1000" s="2" t="s">
        <v>21</v>
      </c>
      <c r="L1000" s="2"/>
      <c r="M1000" s="2">
        <v>4</v>
      </c>
      <c r="N1000" s="2" t="s">
        <v>29</v>
      </c>
    </row>
    <row r="1001" spans="1:14" x14ac:dyDescent="0.3">
      <c r="A1001" s="2" t="s">
        <v>1637</v>
      </c>
      <c r="B1001" s="2" t="s">
        <v>296</v>
      </c>
      <c r="C1001" s="2" t="s">
        <v>76</v>
      </c>
      <c r="D1001" s="2" t="s">
        <v>42</v>
      </c>
      <c r="E1001" s="2" t="s">
        <v>77</v>
      </c>
      <c r="F1001" s="2" t="s">
        <v>19</v>
      </c>
      <c r="G1001" s="2" t="s">
        <v>1535</v>
      </c>
      <c r="H1001" s="2">
        <v>3102.74</v>
      </c>
      <c r="I1001" s="2">
        <v>2188.84</v>
      </c>
      <c r="J1001" s="2">
        <v>913.9</v>
      </c>
      <c r="K1001" s="2" t="s">
        <v>21</v>
      </c>
      <c r="L1001" s="2"/>
      <c r="M1001" s="2">
        <v>5</v>
      </c>
      <c r="N1001" s="2" t="s">
        <v>22</v>
      </c>
    </row>
    <row r="1002" spans="1:14" x14ac:dyDescent="0.3">
      <c r="A1002" s="2" t="s">
        <v>1638</v>
      </c>
      <c r="B1002" s="2" t="s">
        <v>1257</v>
      </c>
      <c r="C1002" s="2" t="s">
        <v>68</v>
      </c>
      <c r="D1002" s="2" t="s">
        <v>17</v>
      </c>
      <c r="E1002" s="2" t="s">
        <v>18</v>
      </c>
      <c r="F1002" s="2" t="s">
        <v>40</v>
      </c>
      <c r="G1002" s="2" t="s">
        <v>36</v>
      </c>
      <c r="H1002" s="2">
        <v>484.68</v>
      </c>
      <c r="I1002" s="2">
        <v>351.35</v>
      </c>
      <c r="J1002" s="2">
        <v>133.33000000000001</v>
      </c>
      <c r="K1002" s="2" t="s">
        <v>21</v>
      </c>
      <c r="L1002" s="2"/>
      <c r="M1002" s="2">
        <v>5</v>
      </c>
      <c r="N1002" s="2" t="s">
        <v>22</v>
      </c>
    </row>
    <row r="1003" spans="1:14" x14ac:dyDescent="0.3">
      <c r="A1003" s="2" t="s">
        <v>220</v>
      </c>
      <c r="B1003" s="2" t="s">
        <v>221</v>
      </c>
      <c r="C1003" s="2" t="s">
        <v>25</v>
      </c>
      <c r="D1003" s="2" t="s">
        <v>33</v>
      </c>
      <c r="E1003" s="2" t="s">
        <v>205</v>
      </c>
      <c r="F1003" s="2" t="s">
        <v>27</v>
      </c>
      <c r="G1003" s="2" t="s">
        <v>44</v>
      </c>
      <c r="H1003" s="2">
        <v>3402.48</v>
      </c>
      <c r="I1003" s="2">
        <v>1916.42</v>
      </c>
      <c r="J1003" s="2">
        <v>1486.06</v>
      </c>
      <c r="K1003" s="2" t="s">
        <v>21</v>
      </c>
      <c r="L1003" s="2"/>
      <c r="M1003" s="2">
        <v>3</v>
      </c>
      <c r="N1003" s="2" t="s">
        <v>29</v>
      </c>
    </row>
    <row r="1004" spans="1:14" x14ac:dyDescent="0.3">
      <c r="A1004" s="2" t="s">
        <v>1639</v>
      </c>
      <c r="B1004" s="2" t="s">
        <v>1640</v>
      </c>
      <c r="C1004" s="2" t="s">
        <v>318</v>
      </c>
      <c r="D1004" s="2" t="s">
        <v>33</v>
      </c>
      <c r="E1004" s="2" t="s">
        <v>119</v>
      </c>
      <c r="F1004" s="2" t="s">
        <v>35</v>
      </c>
      <c r="G1004" s="2" t="s">
        <v>36</v>
      </c>
      <c r="H1004" s="2">
        <v>780.35</v>
      </c>
      <c r="I1004" s="2">
        <v>577.79</v>
      </c>
      <c r="J1004" s="2">
        <v>202.56</v>
      </c>
      <c r="K1004" s="2" t="s">
        <v>21</v>
      </c>
      <c r="L1004" s="2"/>
      <c r="M1004" s="2">
        <v>4</v>
      </c>
      <c r="N1004" s="2" t="s">
        <v>22</v>
      </c>
    </row>
    <row r="1005" spans="1:14" x14ac:dyDescent="0.3">
      <c r="A1005" s="2" t="s">
        <v>1641</v>
      </c>
      <c r="B1005" s="2" t="s">
        <v>1294</v>
      </c>
      <c r="C1005" s="2" t="s">
        <v>32</v>
      </c>
      <c r="D1005" s="2" t="s">
        <v>7</v>
      </c>
      <c r="E1005" s="2" t="s">
        <v>128</v>
      </c>
      <c r="F1005" s="2" t="s">
        <v>19</v>
      </c>
      <c r="G1005" s="2" t="s">
        <v>36</v>
      </c>
      <c r="H1005" s="2">
        <v>3736.8</v>
      </c>
      <c r="I1005" s="2">
        <v>2736.08</v>
      </c>
      <c r="J1005" s="2">
        <v>1000.72</v>
      </c>
      <c r="K1005" s="2" t="s">
        <v>21</v>
      </c>
      <c r="L1005" s="2"/>
      <c r="M1005" s="2">
        <v>5</v>
      </c>
      <c r="N1005" s="2" t="s">
        <v>22</v>
      </c>
    </row>
    <row r="1006" spans="1:14" x14ac:dyDescent="0.3">
      <c r="A1006" s="2" t="s">
        <v>1642</v>
      </c>
      <c r="B1006" s="2" t="s">
        <v>1643</v>
      </c>
      <c r="C1006" s="2" t="s">
        <v>179</v>
      </c>
      <c r="D1006" s="2" t="s">
        <v>42</v>
      </c>
      <c r="E1006" s="2" t="s">
        <v>262</v>
      </c>
      <c r="F1006" s="2" t="s">
        <v>87</v>
      </c>
      <c r="G1006" s="2" t="s">
        <v>28</v>
      </c>
      <c r="H1006" s="2">
        <v>1718.72</v>
      </c>
      <c r="I1006" s="2">
        <v>1375.37</v>
      </c>
      <c r="J1006" s="2">
        <v>343.35</v>
      </c>
      <c r="K1006" s="2" t="s">
        <v>21</v>
      </c>
      <c r="L1006" s="2"/>
      <c r="M1006" s="2">
        <v>3</v>
      </c>
      <c r="N1006" s="2" t="s">
        <v>22</v>
      </c>
    </row>
    <row r="1007" spans="1:14" x14ac:dyDescent="0.3">
      <c r="A1007" s="2" t="s">
        <v>1644</v>
      </c>
      <c r="B1007" s="2" t="s">
        <v>1645</v>
      </c>
      <c r="C1007" s="2" t="s">
        <v>25</v>
      </c>
      <c r="D1007" s="2" t="s">
        <v>42</v>
      </c>
      <c r="E1007" s="2" t="s">
        <v>77</v>
      </c>
      <c r="F1007" s="2" t="s">
        <v>27</v>
      </c>
      <c r="G1007" s="2" t="s">
        <v>44</v>
      </c>
      <c r="H1007" s="2">
        <v>1264.43</v>
      </c>
      <c r="I1007" s="2">
        <v>1072.03</v>
      </c>
      <c r="J1007" s="2">
        <v>192.4</v>
      </c>
      <c r="K1007" s="2" t="s">
        <v>21</v>
      </c>
      <c r="L1007" s="2"/>
      <c r="M1007" s="2">
        <v>5</v>
      </c>
      <c r="N1007" s="2" t="s">
        <v>22</v>
      </c>
    </row>
    <row r="1008" spans="1:14" x14ac:dyDescent="0.3">
      <c r="A1008" s="2" t="s">
        <v>1646</v>
      </c>
      <c r="B1008" s="2" t="s">
        <v>71</v>
      </c>
      <c r="C1008" s="2" t="s">
        <v>32</v>
      </c>
      <c r="D1008" s="2" t="s">
        <v>33</v>
      </c>
      <c r="E1008" s="2" t="s">
        <v>297</v>
      </c>
      <c r="F1008" s="2" t="s">
        <v>27</v>
      </c>
      <c r="G1008" s="2" t="s">
        <v>36</v>
      </c>
      <c r="H1008" s="2">
        <v>1269.1300000000001</v>
      </c>
      <c r="I1008" s="2">
        <v>889.55</v>
      </c>
      <c r="J1008" s="2">
        <v>379.58</v>
      </c>
      <c r="K1008" s="2" t="s">
        <v>21</v>
      </c>
      <c r="L1008" s="2"/>
      <c r="M1008" s="2">
        <v>4</v>
      </c>
      <c r="N1008" s="2" t="s">
        <v>29</v>
      </c>
    </row>
    <row r="1009" spans="1:14" x14ac:dyDescent="0.3">
      <c r="A1009" s="2" t="s">
        <v>1647</v>
      </c>
      <c r="B1009" s="2" t="s">
        <v>1390</v>
      </c>
      <c r="C1009" s="2" t="s">
        <v>124</v>
      </c>
      <c r="D1009" s="2" t="s">
        <v>17</v>
      </c>
      <c r="E1009" s="2" t="s">
        <v>96</v>
      </c>
      <c r="F1009" s="2" t="s">
        <v>87</v>
      </c>
      <c r="G1009" s="2" t="s">
        <v>20</v>
      </c>
      <c r="H1009" s="2">
        <v>2975.46</v>
      </c>
      <c r="I1009" s="2">
        <v>2084.06</v>
      </c>
      <c r="J1009" s="2">
        <v>891.4</v>
      </c>
      <c r="K1009" s="2" t="s">
        <v>21</v>
      </c>
      <c r="L1009" s="2"/>
      <c r="M1009" s="2">
        <v>5</v>
      </c>
      <c r="N1009" s="2" t="s">
        <v>29</v>
      </c>
    </row>
    <row r="1010" spans="1:14" x14ac:dyDescent="0.3">
      <c r="A1010" s="2" t="s">
        <v>1648</v>
      </c>
      <c r="B1010" s="2" t="s">
        <v>110</v>
      </c>
      <c r="C1010" s="2" t="s">
        <v>111</v>
      </c>
      <c r="D1010" s="2" t="s">
        <v>17</v>
      </c>
      <c r="E1010" s="2" t="s">
        <v>469</v>
      </c>
      <c r="F1010" s="2" t="s">
        <v>35</v>
      </c>
      <c r="G1010" s="2" t="s">
        <v>36</v>
      </c>
      <c r="H1010" s="2">
        <v>5395.43</v>
      </c>
      <c r="I1010" s="2">
        <v>4274.5200000000004</v>
      </c>
      <c r="J1010" s="2">
        <v>1120.9100000000001</v>
      </c>
      <c r="K1010" s="2" t="s">
        <v>56</v>
      </c>
      <c r="L1010" s="2">
        <v>8</v>
      </c>
      <c r="M1010" s="2">
        <v>5</v>
      </c>
      <c r="N1010" s="2" t="s">
        <v>29</v>
      </c>
    </row>
    <row r="1011" spans="1:14" x14ac:dyDescent="0.3">
      <c r="A1011" s="2" t="s">
        <v>1649</v>
      </c>
      <c r="B1011" s="2" t="s">
        <v>1650</v>
      </c>
      <c r="C1011" s="2" t="s">
        <v>54</v>
      </c>
      <c r="D1011" s="2" t="s">
        <v>17</v>
      </c>
      <c r="E1011" s="2" t="s">
        <v>469</v>
      </c>
      <c r="F1011" s="2" t="s">
        <v>27</v>
      </c>
      <c r="G1011" s="2" t="s">
        <v>36</v>
      </c>
      <c r="H1011" s="2">
        <v>3813.96</v>
      </c>
      <c r="I1011" s="2">
        <v>2450.69</v>
      </c>
      <c r="J1011" s="2">
        <v>1363.27</v>
      </c>
      <c r="K1011" s="2" t="s">
        <v>21</v>
      </c>
      <c r="L1011" s="2"/>
      <c r="M1011" s="2">
        <v>5</v>
      </c>
      <c r="N1011" s="2" t="s">
        <v>29</v>
      </c>
    </row>
    <row r="1012" spans="1:14" x14ac:dyDescent="0.3">
      <c r="A1012" s="2" t="s">
        <v>1651</v>
      </c>
      <c r="B1012" s="2" t="s">
        <v>1652</v>
      </c>
      <c r="C1012" s="2" t="s">
        <v>64</v>
      </c>
      <c r="D1012" s="2" t="s">
        <v>42</v>
      </c>
      <c r="E1012" s="2" t="s">
        <v>262</v>
      </c>
      <c r="F1012" s="2" t="s">
        <v>27</v>
      </c>
      <c r="G1012" s="2" t="s">
        <v>44</v>
      </c>
      <c r="H1012" s="2">
        <v>231.16</v>
      </c>
      <c r="I1012" s="2">
        <v>170.21</v>
      </c>
      <c r="J1012" s="2">
        <v>60.95</v>
      </c>
      <c r="K1012" s="2" t="s">
        <v>21</v>
      </c>
      <c r="L1012" s="2"/>
      <c r="M1012" s="2">
        <v>5</v>
      </c>
      <c r="N1012" s="2" t="s">
        <v>29</v>
      </c>
    </row>
    <row r="1013" spans="1:14" x14ac:dyDescent="0.3">
      <c r="A1013" s="2" t="s">
        <v>1653</v>
      </c>
      <c r="B1013" s="2" t="s">
        <v>473</v>
      </c>
      <c r="C1013" s="2" t="s">
        <v>115</v>
      </c>
      <c r="D1013" s="2" t="s">
        <v>59</v>
      </c>
      <c r="E1013" s="2" t="s">
        <v>194</v>
      </c>
      <c r="F1013" s="2" t="s">
        <v>35</v>
      </c>
      <c r="G1013" s="2" t="s">
        <v>28</v>
      </c>
      <c r="H1013" s="2">
        <v>1737.09</v>
      </c>
      <c r="I1013" s="2">
        <v>1207.79</v>
      </c>
      <c r="J1013" s="2">
        <v>529.29999999999995</v>
      </c>
      <c r="K1013" s="2" t="s">
        <v>56</v>
      </c>
      <c r="L1013" s="2">
        <v>10</v>
      </c>
      <c r="M1013" s="2">
        <v>2</v>
      </c>
      <c r="N1013" s="2" t="s">
        <v>22</v>
      </c>
    </row>
    <row r="1014" spans="1:14" x14ac:dyDescent="0.3">
      <c r="A1014" s="2" t="s">
        <v>1654</v>
      </c>
      <c r="B1014" s="2" t="s">
        <v>1561</v>
      </c>
      <c r="C1014" s="2" t="s">
        <v>111</v>
      </c>
      <c r="D1014" s="2" t="s">
        <v>42</v>
      </c>
      <c r="E1014" s="2" t="s">
        <v>80</v>
      </c>
      <c r="F1014" s="2" t="s">
        <v>87</v>
      </c>
      <c r="G1014" s="2" t="s">
        <v>20</v>
      </c>
      <c r="H1014" s="2">
        <v>1350.61</v>
      </c>
      <c r="I1014" s="2">
        <v>1241.18</v>
      </c>
      <c r="J1014" s="2">
        <v>109.43</v>
      </c>
      <c r="K1014" s="2" t="s">
        <v>56</v>
      </c>
      <c r="L1014" s="2">
        <v>11</v>
      </c>
      <c r="M1014" s="2"/>
      <c r="N1014" s="2" t="s">
        <v>29</v>
      </c>
    </row>
    <row r="1015" spans="1:14" x14ac:dyDescent="0.3">
      <c r="A1015" s="2" t="s">
        <v>1655</v>
      </c>
      <c r="B1015" s="2" t="s">
        <v>1155</v>
      </c>
      <c r="C1015" s="2" t="s">
        <v>16</v>
      </c>
      <c r="D1015" s="2" t="s">
        <v>17</v>
      </c>
      <c r="E1015" s="2" t="s">
        <v>226</v>
      </c>
      <c r="F1015" s="2" t="s">
        <v>84</v>
      </c>
      <c r="G1015" s="2" t="s">
        <v>558</v>
      </c>
      <c r="H1015" s="2">
        <v>1022.69</v>
      </c>
      <c r="I1015" s="2">
        <v>613.77</v>
      </c>
      <c r="J1015" s="2">
        <v>408.92</v>
      </c>
      <c r="K1015" s="2" t="s">
        <v>21</v>
      </c>
      <c r="L1015" s="2"/>
      <c r="M1015" s="2">
        <v>4</v>
      </c>
      <c r="N1015" s="2" t="s">
        <v>22</v>
      </c>
    </row>
    <row r="1016" spans="1:14" x14ac:dyDescent="0.3">
      <c r="A1016" s="2" t="s">
        <v>1656</v>
      </c>
      <c r="B1016" s="2" t="s">
        <v>276</v>
      </c>
      <c r="C1016" s="2" t="s">
        <v>32</v>
      </c>
      <c r="D1016" s="2" t="s">
        <v>42</v>
      </c>
      <c r="E1016" s="2" t="s">
        <v>83</v>
      </c>
      <c r="F1016" s="2" t="s">
        <v>19</v>
      </c>
      <c r="G1016" s="2" t="s">
        <v>28</v>
      </c>
      <c r="H1016" s="2">
        <v>1321.36</v>
      </c>
      <c r="I1016" s="2">
        <v>1163.48</v>
      </c>
      <c r="J1016" s="2">
        <v>157.88</v>
      </c>
      <c r="K1016" s="2" t="s">
        <v>56</v>
      </c>
      <c r="L1016" s="2">
        <v>11</v>
      </c>
      <c r="M1016" s="2">
        <v>2</v>
      </c>
      <c r="N1016" s="2" t="s">
        <v>29</v>
      </c>
    </row>
    <row r="1017" spans="1:14" x14ac:dyDescent="0.3">
      <c r="A1017" s="2" t="s">
        <v>781</v>
      </c>
      <c r="B1017" s="2" t="s">
        <v>782</v>
      </c>
      <c r="C1017" s="2" t="s">
        <v>76</v>
      </c>
      <c r="D1017" s="2" t="s">
        <v>33</v>
      </c>
      <c r="E1017" s="2" t="s">
        <v>34</v>
      </c>
      <c r="F1017" s="2" t="s">
        <v>40</v>
      </c>
      <c r="G1017" s="2" t="s">
        <v>36</v>
      </c>
      <c r="H1017" s="2">
        <v>224.09</v>
      </c>
      <c r="I1017" s="2">
        <v>148.37</v>
      </c>
      <c r="J1017" s="2">
        <v>75.72</v>
      </c>
      <c r="K1017" s="2" t="s">
        <v>21</v>
      </c>
      <c r="L1017" s="2"/>
      <c r="M1017" s="2">
        <v>5</v>
      </c>
      <c r="N1017" s="2" t="s">
        <v>29</v>
      </c>
    </row>
    <row r="1018" spans="1:14" x14ac:dyDescent="0.3">
      <c r="A1018" s="2" t="s">
        <v>1657</v>
      </c>
      <c r="B1018" s="2" t="s">
        <v>1658</v>
      </c>
      <c r="C1018" s="2" t="s">
        <v>104</v>
      </c>
      <c r="D1018" s="2" t="s">
        <v>59</v>
      </c>
      <c r="E1018" s="2" t="s">
        <v>490</v>
      </c>
      <c r="F1018" s="2" t="s">
        <v>87</v>
      </c>
      <c r="G1018" s="2" t="s">
        <v>44</v>
      </c>
      <c r="H1018" s="2">
        <v>3464.95</v>
      </c>
      <c r="I1018" s="2">
        <v>2087.61</v>
      </c>
      <c r="J1018" s="2">
        <v>1377.34</v>
      </c>
      <c r="K1018" s="2" t="s">
        <v>56</v>
      </c>
      <c r="L1018" s="2">
        <v>6</v>
      </c>
      <c r="M1018" s="2">
        <v>2</v>
      </c>
      <c r="N1018" s="2" t="s">
        <v>22</v>
      </c>
    </row>
    <row r="1019" spans="1:14" x14ac:dyDescent="0.3">
      <c r="A1019" s="2" t="s">
        <v>1659</v>
      </c>
      <c r="B1019" s="2" t="s">
        <v>1660</v>
      </c>
      <c r="C1019" s="2" t="s">
        <v>54</v>
      </c>
      <c r="D1019" s="2" t="s">
        <v>59</v>
      </c>
      <c r="E1019" s="2" t="s">
        <v>194</v>
      </c>
      <c r="F1019" s="2" t="s">
        <v>19</v>
      </c>
      <c r="G1019" s="2" t="s">
        <v>20</v>
      </c>
      <c r="H1019" s="2">
        <v>2082.67</v>
      </c>
      <c r="I1019" s="2">
        <v>1146.3399999999999</v>
      </c>
      <c r="J1019" s="2">
        <v>936.33</v>
      </c>
      <c r="K1019" s="2" t="s">
        <v>21</v>
      </c>
      <c r="L1019" s="2"/>
      <c r="M1019" s="2">
        <v>4</v>
      </c>
      <c r="N1019" s="2" t="s">
        <v>22</v>
      </c>
    </row>
    <row r="1020" spans="1:14" x14ac:dyDescent="0.3">
      <c r="A1020" s="2" t="s">
        <v>1661</v>
      </c>
      <c r="B1020" s="2" t="s">
        <v>930</v>
      </c>
      <c r="C1020" s="2" t="s">
        <v>111</v>
      </c>
      <c r="D1020" s="2" t="s">
        <v>7</v>
      </c>
      <c r="E1020" s="2" t="s">
        <v>134</v>
      </c>
      <c r="F1020" s="2" t="s">
        <v>27</v>
      </c>
      <c r="G1020" s="2" t="s">
        <v>73</v>
      </c>
      <c r="H1020" s="2">
        <v>1815.6</v>
      </c>
      <c r="I1020" s="2">
        <v>1083.0899999999999</v>
      </c>
      <c r="J1020" s="2">
        <v>732.51</v>
      </c>
      <c r="K1020" s="2" t="s">
        <v>21</v>
      </c>
      <c r="L1020" s="2"/>
      <c r="M1020" s="2">
        <v>4</v>
      </c>
      <c r="N1020" s="2" t="s">
        <v>22</v>
      </c>
    </row>
    <row r="1021" spans="1:14" x14ac:dyDescent="0.3">
      <c r="A1021" s="2" t="s">
        <v>1662</v>
      </c>
      <c r="B1021" s="2" t="s">
        <v>1663</v>
      </c>
      <c r="C1021" s="2" t="s">
        <v>104</v>
      </c>
      <c r="D1021" s="2" t="s">
        <v>59</v>
      </c>
      <c r="E1021" s="2" t="s">
        <v>155</v>
      </c>
      <c r="F1021" s="2" t="s">
        <v>87</v>
      </c>
      <c r="G1021" s="2" t="s">
        <v>20</v>
      </c>
      <c r="H1021" s="2">
        <v>2966.48</v>
      </c>
      <c r="I1021" s="2">
        <v>1883.09</v>
      </c>
      <c r="J1021" s="2">
        <v>1083.3900000000001</v>
      </c>
      <c r="K1021" s="2" t="s">
        <v>21</v>
      </c>
      <c r="L1021" s="2"/>
      <c r="M1021" s="2"/>
      <c r="N1021" s="2" t="s">
        <v>22</v>
      </c>
    </row>
    <row r="1022" spans="1:14" x14ac:dyDescent="0.3">
      <c r="A1022" s="2" t="s">
        <v>1664</v>
      </c>
      <c r="B1022" s="2" t="s">
        <v>1467</v>
      </c>
      <c r="C1022" s="2" t="s">
        <v>68</v>
      </c>
      <c r="D1022" s="2" t="s">
        <v>42</v>
      </c>
      <c r="E1022" s="2" t="s">
        <v>83</v>
      </c>
      <c r="F1022" s="2" t="s">
        <v>35</v>
      </c>
      <c r="G1022" s="2" t="s">
        <v>28</v>
      </c>
      <c r="H1022" s="2">
        <v>1824.38</v>
      </c>
      <c r="I1022" s="2">
        <v>1662.16</v>
      </c>
      <c r="J1022" s="2">
        <v>162.22</v>
      </c>
      <c r="K1022" s="2" t="s">
        <v>56</v>
      </c>
      <c r="L1022" s="2">
        <v>8</v>
      </c>
      <c r="M1022" s="2">
        <v>3</v>
      </c>
      <c r="N1022" s="2" t="s">
        <v>29</v>
      </c>
    </row>
    <row r="1023" spans="1:14" x14ac:dyDescent="0.3">
      <c r="A1023" s="2" t="s">
        <v>1665</v>
      </c>
      <c r="B1023" s="2" t="s">
        <v>1666</v>
      </c>
      <c r="C1023" s="2" t="s">
        <v>16</v>
      </c>
      <c r="D1023" s="2" t="s">
        <v>17</v>
      </c>
      <c r="E1023" s="2" t="s">
        <v>26</v>
      </c>
      <c r="F1023" s="2" t="s">
        <v>35</v>
      </c>
      <c r="G1023" s="2" t="s">
        <v>28</v>
      </c>
      <c r="H1023" s="2">
        <v>2657.84</v>
      </c>
      <c r="I1023" s="2">
        <v>1546.42</v>
      </c>
      <c r="J1023" s="2">
        <v>1111.42</v>
      </c>
      <c r="K1023" s="2" t="s">
        <v>21</v>
      </c>
      <c r="L1023" s="2"/>
      <c r="M1023" s="2">
        <v>3</v>
      </c>
      <c r="N1023" s="2" t="s">
        <v>22</v>
      </c>
    </row>
    <row r="1024" spans="1:14" x14ac:dyDescent="0.3">
      <c r="A1024" s="2" t="s">
        <v>1667</v>
      </c>
      <c r="B1024" s="2" t="s">
        <v>126</v>
      </c>
      <c r="C1024" s="2" t="s">
        <v>25</v>
      </c>
      <c r="D1024" s="2" t="s">
        <v>59</v>
      </c>
      <c r="E1024" s="2" t="s">
        <v>308</v>
      </c>
      <c r="F1024" s="2" t="s">
        <v>84</v>
      </c>
      <c r="G1024" s="2" t="s">
        <v>44</v>
      </c>
      <c r="H1024" s="2">
        <v>2212.08</v>
      </c>
      <c r="I1024" s="2">
        <v>1416.67</v>
      </c>
      <c r="J1024" s="2">
        <v>795.41</v>
      </c>
      <c r="K1024" s="2" t="s">
        <v>21</v>
      </c>
      <c r="L1024" s="2"/>
      <c r="M1024" s="2">
        <v>5</v>
      </c>
      <c r="N1024" s="2" t="s">
        <v>29</v>
      </c>
    </row>
    <row r="1025" spans="1:14" x14ac:dyDescent="0.3">
      <c r="A1025" s="2" t="s">
        <v>1668</v>
      </c>
      <c r="B1025" s="2" t="s">
        <v>1669</v>
      </c>
      <c r="C1025" s="2" t="s">
        <v>179</v>
      </c>
      <c r="D1025" s="2" t="s">
        <v>42</v>
      </c>
      <c r="E1025" s="2" t="s">
        <v>47</v>
      </c>
      <c r="F1025" s="2" t="s">
        <v>19</v>
      </c>
      <c r="G1025" s="2" t="s">
        <v>36</v>
      </c>
      <c r="H1025" s="2">
        <v>1376.25</v>
      </c>
      <c r="I1025" s="2">
        <v>1202.94</v>
      </c>
      <c r="J1025" s="2">
        <v>173.31</v>
      </c>
      <c r="K1025" s="2" t="s">
        <v>21</v>
      </c>
      <c r="L1025" s="2"/>
      <c r="M1025" s="2">
        <v>4</v>
      </c>
      <c r="N1025" s="2" t="s">
        <v>22</v>
      </c>
    </row>
    <row r="1026" spans="1:14" x14ac:dyDescent="0.3">
      <c r="A1026" s="2" t="s">
        <v>1670</v>
      </c>
      <c r="B1026" s="2" t="s">
        <v>564</v>
      </c>
      <c r="C1026" s="2" t="s">
        <v>32</v>
      </c>
      <c r="D1026" s="2" t="s">
        <v>42</v>
      </c>
      <c r="E1026" s="2" t="s">
        <v>47</v>
      </c>
      <c r="F1026" s="2" t="s">
        <v>19</v>
      </c>
      <c r="G1026" s="2" t="s">
        <v>20</v>
      </c>
      <c r="H1026" s="2">
        <v>2320.4499999999998</v>
      </c>
      <c r="I1026" s="2">
        <v>1734.57</v>
      </c>
      <c r="J1026" s="2">
        <v>585.88</v>
      </c>
      <c r="K1026" s="2" t="s">
        <v>56</v>
      </c>
      <c r="L1026" s="2">
        <v>13</v>
      </c>
      <c r="M1026" s="2">
        <v>2</v>
      </c>
      <c r="N1026" s="2" t="s">
        <v>22</v>
      </c>
    </row>
    <row r="1027" spans="1:14" x14ac:dyDescent="0.3">
      <c r="A1027" s="2" t="s">
        <v>1671</v>
      </c>
      <c r="B1027" s="2" t="s">
        <v>1672</v>
      </c>
      <c r="C1027" s="2" t="s">
        <v>111</v>
      </c>
      <c r="D1027" s="2" t="s">
        <v>7</v>
      </c>
      <c r="E1027" s="2" t="s">
        <v>134</v>
      </c>
      <c r="F1027" s="2" t="s">
        <v>87</v>
      </c>
      <c r="G1027" s="2" t="s">
        <v>176</v>
      </c>
      <c r="H1027" s="2">
        <v>3006.11</v>
      </c>
      <c r="I1027" s="2">
        <v>2218.8000000000002</v>
      </c>
      <c r="J1027" s="2">
        <v>787.31</v>
      </c>
      <c r="K1027" s="2" t="s">
        <v>21</v>
      </c>
      <c r="L1027" s="2"/>
      <c r="M1027" s="2">
        <v>4</v>
      </c>
      <c r="N1027" s="2" t="s">
        <v>22</v>
      </c>
    </row>
    <row r="1028" spans="1:14" x14ac:dyDescent="0.3">
      <c r="A1028" s="2" t="s">
        <v>1673</v>
      </c>
      <c r="B1028" s="2" t="s">
        <v>1674</v>
      </c>
      <c r="C1028" s="2" t="s">
        <v>32</v>
      </c>
      <c r="D1028" s="2" t="s">
        <v>59</v>
      </c>
      <c r="E1028" s="2" t="s">
        <v>308</v>
      </c>
      <c r="F1028" s="2" t="s">
        <v>84</v>
      </c>
      <c r="G1028" s="2" t="s">
        <v>44</v>
      </c>
      <c r="H1028" s="2">
        <v>2687.14</v>
      </c>
      <c r="I1028" s="2">
        <v>1780.2</v>
      </c>
      <c r="J1028" s="2">
        <v>906.94</v>
      </c>
      <c r="K1028" s="2" t="s">
        <v>21</v>
      </c>
      <c r="L1028" s="2"/>
      <c r="M1028" s="2">
        <v>5</v>
      </c>
      <c r="N1028" s="2" t="s">
        <v>22</v>
      </c>
    </row>
    <row r="1029" spans="1:14" x14ac:dyDescent="0.3">
      <c r="A1029" s="2" t="s">
        <v>1675</v>
      </c>
      <c r="B1029" s="2" t="s">
        <v>1623</v>
      </c>
      <c r="C1029" s="2" t="s">
        <v>104</v>
      </c>
      <c r="D1029" s="2" t="s">
        <v>33</v>
      </c>
      <c r="E1029" s="2" t="s">
        <v>105</v>
      </c>
      <c r="F1029" s="2" t="s">
        <v>84</v>
      </c>
      <c r="G1029" s="2" t="s">
        <v>44</v>
      </c>
      <c r="H1029" s="2">
        <v>1699.06</v>
      </c>
      <c r="I1029" s="2">
        <v>1127.73</v>
      </c>
      <c r="J1029" s="2">
        <v>571.33000000000004</v>
      </c>
      <c r="K1029" s="2" t="s">
        <v>21</v>
      </c>
      <c r="L1029" s="2"/>
      <c r="M1029" s="2">
        <v>5</v>
      </c>
      <c r="N1029" s="2" t="s">
        <v>29</v>
      </c>
    </row>
    <row r="1030" spans="1:14" x14ac:dyDescent="0.3">
      <c r="A1030" s="2" t="s">
        <v>1676</v>
      </c>
      <c r="B1030" s="2" t="s">
        <v>103</v>
      </c>
      <c r="C1030" s="2" t="s">
        <v>104</v>
      </c>
      <c r="D1030" s="2" t="s">
        <v>375</v>
      </c>
      <c r="E1030" s="2" t="s">
        <v>80</v>
      </c>
      <c r="F1030" s="2" t="s">
        <v>27</v>
      </c>
      <c r="G1030" s="2" t="s">
        <v>20</v>
      </c>
      <c r="H1030" s="2">
        <v>1403.02</v>
      </c>
      <c r="I1030" s="2">
        <v>1090.32</v>
      </c>
      <c r="J1030" s="2">
        <v>312.7</v>
      </c>
      <c r="K1030" s="2" t="s">
        <v>21</v>
      </c>
      <c r="L1030" s="2"/>
      <c r="M1030" s="2">
        <v>3</v>
      </c>
      <c r="N1030" s="2" t="s">
        <v>29</v>
      </c>
    </row>
    <row r="1031" spans="1:14" x14ac:dyDescent="0.3">
      <c r="A1031" s="2" t="s">
        <v>1677</v>
      </c>
      <c r="B1031" s="2" t="s">
        <v>988</v>
      </c>
      <c r="C1031" s="2" t="s">
        <v>54</v>
      </c>
      <c r="D1031" s="2" t="s">
        <v>59</v>
      </c>
      <c r="E1031" s="2" t="s">
        <v>116</v>
      </c>
      <c r="F1031" s="2" t="s">
        <v>19</v>
      </c>
      <c r="G1031" s="2" t="s">
        <v>36</v>
      </c>
      <c r="H1031" s="2">
        <v>3010.64</v>
      </c>
      <c r="I1031" s="2">
        <v>1943.52</v>
      </c>
      <c r="J1031" s="2">
        <v>1067.1199999999999</v>
      </c>
      <c r="K1031" s="2" t="s">
        <v>21</v>
      </c>
      <c r="L1031" s="2"/>
      <c r="M1031" s="2">
        <v>4</v>
      </c>
      <c r="N1031" s="2" t="s">
        <v>22</v>
      </c>
    </row>
    <row r="1032" spans="1:14" x14ac:dyDescent="0.3">
      <c r="A1032" s="2" t="s">
        <v>1678</v>
      </c>
      <c r="B1032" s="2" t="s">
        <v>1679</v>
      </c>
      <c r="C1032" s="2" t="s">
        <v>111</v>
      </c>
      <c r="D1032" s="2" t="s">
        <v>59</v>
      </c>
      <c r="E1032" s="2" t="s">
        <v>108</v>
      </c>
      <c r="F1032" s="2" t="s">
        <v>35</v>
      </c>
      <c r="G1032" s="2" t="s">
        <v>97</v>
      </c>
      <c r="H1032" s="2">
        <v>936.23</v>
      </c>
      <c r="I1032" s="2">
        <v>540.48</v>
      </c>
      <c r="J1032" s="2">
        <v>395.75</v>
      </c>
      <c r="K1032" s="2" t="s">
        <v>56</v>
      </c>
      <c r="L1032" s="2">
        <v>7</v>
      </c>
      <c r="M1032" s="2">
        <v>3</v>
      </c>
      <c r="N1032" s="2" t="s">
        <v>22</v>
      </c>
    </row>
    <row r="1033" spans="1:14" x14ac:dyDescent="0.3">
      <c r="A1033" s="2" t="s">
        <v>1680</v>
      </c>
      <c r="B1033" s="2" t="s">
        <v>1681</v>
      </c>
      <c r="C1033" s="2" t="s">
        <v>54</v>
      </c>
      <c r="D1033" s="2" t="s">
        <v>33</v>
      </c>
      <c r="E1033" s="2" t="s">
        <v>171</v>
      </c>
      <c r="F1033" s="2" t="s">
        <v>35</v>
      </c>
      <c r="G1033" s="2" t="s">
        <v>28</v>
      </c>
      <c r="H1033" s="2">
        <v>2182.1999999999998</v>
      </c>
      <c r="I1033" s="2">
        <v>1675.05</v>
      </c>
      <c r="J1033" s="2">
        <v>507.15</v>
      </c>
      <c r="K1033" s="2" t="s">
        <v>56</v>
      </c>
      <c r="L1033" s="2">
        <v>3</v>
      </c>
      <c r="M1033" s="2">
        <v>1</v>
      </c>
      <c r="N1033" s="2" t="s">
        <v>22</v>
      </c>
    </row>
    <row r="1034" spans="1:14" x14ac:dyDescent="0.3">
      <c r="A1034" s="2" t="s">
        <v>1682</v>
      </c>
      <c r="B1034" s="2" t="s">
        <v>1683</v>
      </c>
      <c r="C1034" s="2" t="s">
        <v>115</v>
      </c>
      <c r="D1034" s="2" t="s">
        <v>7</v>
      </c>
      <c r="E1034" s="2" t="s">
        <v>128</v>
      </c>
      <c r="F1034" s="2" t="s">
        <v>87</v>
      </c>
      <c r="G1034" s="2" t="s">
        <v>28</v>
      </c>
      <c r="H1034" s="2">
        <v>1884.45</v>
      </c>
      <c r="I1034" s="2">
        <v>1466.83</v>
      </c>
      <c r="J1034" s="2">
        <v>417.62</v>
      </c>
      <c r="K1034" s="2" t="s">
        <v>21</v>
      </c>
      <c r="L1034" s="2"/>
      <c r="M1034" s="2">
        <v>4</v>
      </c>
      <c r="N1034" s="2" t="s">
        <v>22</v>
      </c>
    </row>
    <row r="1035" spans="1:14" x14ac:dyDescent="0.3">
      <c r="A1035" s="2" t="s">
        <v>1684</v>
      </c>
      <c r="B1035" s="2" t="s">
        <v>1652</v>
      </c>
      <c r="C1035" s="2" t="s">
        <v>64</v>
      </c>
      <c r="D1035" s="2" t="s">
        <v>17</v>
      </c>
      <c r="E1035" s="2" t="s">
        <v>100</v>
      </c>
      <c r="F1035" s="2" t="s">
        <v>592</v>
      </c>
      <c r="G1035" s="2" t="s">
        <v>44</v>
      </c>
      <c r="H1035" s="2">
        <v>1409.54</v>
      </c>
      <c r="I1035" s="2">
        <v>842.34</v>
      </c>
      <c r="J1035" s="2">
        <v>567.20000000000005</v>
      </c>
      <c r="K1035" s="2" t="s">
        <v>56</v>
      </c>
      <c r="L1035" s="2">
        <v>5</v>
      </c>
      <c r="M1035" s="2">
        <v>2</v>
      </c>
      <c r="N1035" s="2" t="s">
        <v>22</v>
      </c>
    </row>
    <row r="1036" spans="1:14" x14ac:dyDescent="0.3">
      <c r="A1036" s="2" t="s">
        <v>1685</v>
      </c>
      <c r="B1036" s="2" t="s">
        <v>1090</v>
      </c>
      <c r="C1036" s="2" t="s">
        <v>32</v>
      </c>
      <c r="D1036" s="2" t="s">
        <v>42</v>
      </c>
      <c r="E1036" s="2" t="s">
        <v>83</v>
      </c>
      <c r="F1036" s="2" t="s">
        <v>87</v>
      </c>
      <c r="G1036" s="2" t="s">
        <v>28</v>
      </c>
      <c r="H1036" s="2">
        <v>991.41</v>
      </c>
      <c r="I1036" s="2">
        <v>869.48</v>
      </c>
      <c r="J1036" s="2">
        <v>121.93</v>
      </c>
      <c r="K1036" s="2" t="s">
        <v>21</v>
      </c>
      <c r="L1036" s="2"/>
      <c r="M1036" s="2">
        <v>5</v>
      </c>
      <c r="N1036" s="2" t="s">
        <v>22</v>
      </c>
    </row>
    <row r="1037" spans="1:14" x14ac:dyDescent="0.3">
      <c r="A1037" s="2" t="s">
        <v>1686</v>
      </c>
      <c r="B1037" s="2" t="s">
        <v>431</v>
      </c>
      <c r="C1037" s="2" t="s">
        <v>64</v>
      </c>
      <c r="D1037" s="2" t="s">
        <v>42</v>
      </c>
      <c r="E1037" s="2" t="s">
        <v>43</v>
      </c>
      <c r="F1037" s="2" t="s">
        <v>27</v>
      </c>
      <c r="G1037" s="2" t="s">
        <v>20</v>
      </c>
      <c r="H1037" s="2">
        <v>935.59</v>
      </c>
      <c r="I1037" s="2">
        <v>657.54</v>
      </c>
      <c r="J1037" s="2">
        <v>278.05</v>
      </c>
      <c r="K1037" s="2" t="s">
        <v>21</v>
      </c>
      <c r="L1037" s="2"/>
      <c r="M1037" s="2">
        <v>5</v>
      </c>
      <c r="N1037" s="2" t="s">
        <v>29</v>
      </c>
    </row>
    <row r="1038" spans="1:14" x14ac:dyDescent="0.3">
      <c r="A1038" s="2" t="s">
        <v>1687</v>
      </c>
      <c r="B1038" s="2" t="s">
        <v>397</v>
      </c>
      <c r="C1038" s="2" t="s">
        <v>115</v>
      </c>
      <c r="D1038" s="2" t="s">
        <v>17</v>
      </c>
      <c r="E1038" s="2" t="s">
        <v>100</v>
      </c>
      <c r="F1038" s="2" t="s">
        <v>40</v>
      </c>
      <c r="G1038" s="2" t="s">
        <v>36</v>
      </c>
      <c r="H1038" s="2">
        <v>3844.52</v>
      </c>
      <c r="I1038" s="2">
        <v>3005.67</v>
      </c>
      <c r="J1038" s="2">
        <v>838.85</v>
      </c>
      <c r="K1038" s="2" t="s">
        <v>21</v>
      </c>
      <c r="L1038" s="2"/>
      <c r="M1038" s="2">
        <v>4</v>
      </c>
      <c r="N1038" s="2" t="s">
        <v>22</v>
      </c>
    </row>
    <row r="1039" spans="1:14" x14ac:dyDescent="0.3">
      <c r="A1039" s="2" t="s">
        <v>1688</v>
      </c>
      <c r="B1039" s="2" t="s">
        <v>1633</v>
      </c>
      <c r="C1039" s="2" t="s">
        <v>179</v>
      </c>
      <c r="D1039" s="2" t="s">
        <v>33</v>
      </c>
      <c r="E1039" s="2" t="s">
        <v>39</v>
      </c>
      <c r="F1039" s="2" t="s">
        <v>35</v>
      </c>
      <c r="G1039" s="2" t="s">
        <v>20</v>
      </c>
      <c r="H1039" s="2">
        <v>2901.76</v>
      </c>
      <c r="I1039" s="2">
        <v>2014</v>
      </c>
      <c r="J1039" s="2">
        <v>887.76</v>
      </c>
      <c r="K1039" s="2" t="s">
        <v>21</v>
      </c>
      <c r="L1039" s="2"/>
      <c r="M1039" s="2">
        <v>5</v>
      </c>
      <c r="N1039" s="2" t="s">
        <v>29</v>
      </c>
    </row>
    <row r="1040" spans="1:14" x14ac:dyDescent="0.3">
      <c r="A1040" s="2" t="s">
        <v>1689</v>
      </c>
      <c r="B1040" s="2" t="s">
        <v>1690</v>
      </c>
      <c r="C1040" s="2" t="s">
        <v>68</v>
      </c>
      <c r="D1040" s="2" t="s">
        <v>17</v>
      </c>
      <c r="E1040" s="2" t="s">
        <v>469</v>
      </c>
      <c r="F1040" s="2" t="s">
        <v>87</v>
      </c>
      <c r="G1040" s="2" t="s">
        <v>44</v>
      </c>
      <c r="H1040" s="2">
        <v>2450.9699999999998</v>
      </c>
      <c r="I1040" s="2">
        <v>1924.17</v>
      </c>
      <c r="J1040" s="2">
        <v>526.79999999999995</v>
      </c>
      <c r="K1040" s="2" t="s">
        <v>21</v>
      </c>
      <c r="L1040" s="2"/>
      <c r="M1040" s="2">
        <v>5</v>
      </c>
      <c r="N1040" s="2" t="s">
        <v>22</v>
      </c>
    </row>
    <row r="1041" spans="1:14" x14ac:dyDescent="0.3">
      <c r="A1041" s="2" t="s">
        <v>1691</v>
      </c>
      <c r="B1041" s="2" t="s">
        <v>178</v>
      </c>
      <c r="C1041" s="2" t="s">
        <v>179</v>
      </c>
      <c r="D1041" s="2" t="s">
        <v>33</v>
      </c>
      <c r="E1041" s="2" t="s">
        <v>297</v>
      </c>
      <c r="F1041" s="2" t="s">
        <v>35</v>
      </c>
      <c r="G1041" s="2" t="s">
        <v>36</v>
      </c>
      <c r="H1041" s="2">
        <v>2366.8000000000002</v>
      </c>
      <c r="I1041" s="2">
        <v>1705.29</v>
      </c>
      <c r="J1041" s="2">
        <v>661.51</v>
      </c>
      <c r="K1041" s="2" t="s">
        <v>56</v>
      </c>
      <c r="L1041" s="2">
        <v>6</v>
      </c>
      <c r="M1041" s="2">
        <v>3</v>
      </c>
      <c r="N1041" s="2" t="s">
        <v>29</v>
      </c>
    </row>
    <row r="1042" spans="1:14" x14ac:dyDescent="0.3">
      <c r="A1042" s="2" t="s">
        <v>1692</v>
      </c>
      <c r="B1042" s="2" t="s">
        <v>1693</v>
      </c>
      <c r="C1042" s="2" t="s">
        <v>76</v>
      </c>
      <c r="D1042" s="2" t="s">
        <v>59</v>
      </c>
      <c r="E1042" s="2" t="s">
        <v>155</v>
      </c>
      <c r="F1042" s="2" t="s">
        <v>1541</v>
      </c>
      <c r="G1042" s="2" t="s">
        <v>73</v>
      </c>
      <c r="H1042" s="2">
        <v>2948.1</v>
      </c>
      <c r="I1042" s="2">
        <v>2027.92</v>
      </c>
      <c r="J1042" s="2">
        <v>920.18</v>
      </c>
      <c r="K1042" s="2" t="s">
        <v>21</v>
      </c>
      <c r="L1042" s="2"/>
      <c r="M1042" s="2">
        <v>2</v>
      </c>
      <c r="N1042" s="2" t="s">
        <v>29</v>
      </c>
    </row>
    <row r="1043" spans="1:14" x14ac:dyDescent="0.3">
      <c r="A1043" s="2" t="s">
        <v>962</v>
      </c>
      <c r="B1043" s="2" t="s">
        <v>330</v>
      </c>
      <c r="C1043" s="2" t="s">
        <v>124</v>
      </c>
      <c r="D1043" s="2" t="s">
        <v>7</v>
      </c>
      <c r="E1043" s="2" t="s">
        <v>182</v>
      </c>
      <c r="F1043" s="2" t="s">
        <v>27</v>
      </c>
      <c r="G1043" s="2" t="s">
        <v>28</v>
      </c>
      <c r="H1043" s="2">
        <v>1199.73</v>
      </c>
      <c r="I1043" s="2">
        <v>924.09</v>
      </c>
      <c r="J1043" s="2">
        <v>275.64</v>
      </c>
      <c r="K1043" s="2" t="s">
        <v>21</v>
      </c>
      <c r="L1043" s="2"/>
      <c r="M1043" s="2">
        <v>5</v>
      </c>
      <c r="N1043" s="2" t="s">
        <v>22</v>
      </c>
    </row>
    <row r="1044" spans="1:14" x14ac:dyDescent="0.3">
      <c r="A1044" s="2" t="s">
        <v>1315</v>
      </c>
      <c r="B1044" s="2" t="s">
        <v>1316</v>
      </c>
      <c r="C1044" s="2" t="s">
        <v>115</v>
      </c>
      <c r="D1044" s="2" t="s">
        <v>59</v>
      </c>
      <c r="E1044" s="2" t="s">
        <v>108</v>
      </c>
      <c r="F1044" s="2" t="s">
        <v>40</v>
      </c>
      <c r="G1044" s="2" t="s">
        <v>44</v>
      </c>
      <c r="H1044" s="2">
        <v>3131.22</v>
      </c>
      <c r="I1044" s="2">
        <v>1791.41</v>
      </c>
      <c r="J1044" s="2">
        <v>1339.81</v>
      </c>
      <c r="K1044" s="2" t="s">
        <v>21</v>
      </c>
      <c r="L1044" s="2"/>
      <c r="M1044" s="2">
        <v>5</v>
      </c>
      <c r="N1044" s="2" t="s">
        <v>22</v>
      </c>
    </row>
    <row r="1045" spans="1:14" x14ac:dyDescent="0.3">
      <c r="A1045" s="2" t="s">
        <v>1694</v>
      </c>
      <c r="B1045" s="2" t="s">
        <v>346</v>
      </c>
      <c r="C1045" s="2" t="s">
        <v>179</v>
      </c>
      <c r="D1045" s="2" t="s">
        <v>33</v>
      </c>
      <c r="E1045" s="2" t="s">
        <v>171</v>
      </c>
      <c r="F1045" s="2" t="s">
        <v>27</v>
      </c>
      <c r="G1045" s="2" t="s">
        <v>44</v>
      </c>
      <c r="H1045" s="2">
        <v>1383.4</v>
      </c>
      <c r="I1045" s="2">
        <v>780.83</v>
      </c>
      <c r="J1045" s="2">
        <v>602.57000000000005</v>
      </c>
      <c r="K1045" s="2" t="s">
        <v>21</v>
      </c>
      <c r="L1045" s="2"/>
      <c r="M1045" s="2">
        <v>4</v>
      </c>
      <c r="N1045" s="2" t="s">
        <v>29</v>
      </c>
    </row>
    <row r="1046" spans="1:14" x14ac:dyDescent="0.3">
      <c r="A1046" s="2" t="s">
        <v>1695</v>
      </c>
      <c r="B1046" s="2" t="s">
        <v>399</v>
      </c>
      <c r="C1046" s="2" t="s">
        <v>25</v>
      </c>
      <c r="D1046" s="2" t="s">
        <v>7</v>
      </c>
      <c r="E1046" s="2" t="s">
        <v>131</v>
      </c>
      <c r="F1046" s="2" t="s">
        <v>87</v>
      </c>
      <c r="G1046" s="2" t="s">
        <v>44</v>
      </c>
      <c r="H1046" s="2">
        <v>1028.32</v>
      </c>
      <c r="I1046" s="2">
        <v>575.80999999999995</v>
      </c>
      <c r="J1046" s="2">
        <v>452.51</v>
      </c>
      <c r="K1046" s="2" t="s">
        <v>21</v>
      </c>
      <c r="L1046" s="2"/>
      <c r="M1046" s="2">
        <v>4</v>
      </c>
      <c r="N1046" s="2" t="s">
        <v>22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433E0C-E2BB-4059-BBF5-7B0284F8EB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Pivot Table Summary</vt:lpstr>
      <vt:lpstr>Operation_Data</vt:lpstr>
      <vt:lpstr>Lists</vt:lpstr>
      <vt:lpstr>ChartData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AIMAN BIN MOHD ISMAIL</cp:lastModifiedBy>
  <dcterms:created xsi:type="dcterms:W3CDTF">2026-06-17T18:30:30Z</dcterms:created>
  <dcterms:modified xsi:type="dcterms:W3CDTF">2026-06-20T01:02:27Z</dcterms:modified>
</cp:coreProperties>
</file>